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Dashboard" sheetId="1" state="visible" r:id="rId3"/>
    <sheet name="02 Eingaben" sheetId="2" state="visible" r:id="rId4"/>
    <sheet name="03 Optimierung" sheetId="3" state="visible" r:id="rId5"/>
    <sheet name="04 Mietmodell" sheetId="4" state="visible" r:id="rId6"/>
    <sheet name="05 Berechnung" sheetId="5" state="visible" r:id="rId7"/>
    <sheet name="06 Grundlagen" sheetId="6" state="visible" r:id="rId8"/>
    <sheet name="07 Vorjah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<sst xmlns="http://schemas.openxmlformats.org/spreadsheetml/2006/main" count="588" uniqueCount="435">
  <si>
    <t xml:space="preserve">Steuerplanung Familie – Kanton Zürich</t>
  </si>
  <si>
    <t xml:space="preserve">Die 7 Kernfragen auf einen Blick</t>
  </si>
  <si>
    <t xml:space="preserve">Frage</t>
  </si>
  <si>
    <t xml:space="preserve">Heute (Szenario A)</t>
  </si>
  <si>
    <t xml:space="preserve">Mit Empfehlung (Szenario C)</t>
  </si>
  <si>
    <t xml:space="preserve">Kommentar</t>
  </si>
  <si>
    <t xml:space="preserve">1  Erwartetes steuerbares Einkommen (Kanton/Gemeinde)</t>
  </si>
  <si>
    <t xml:space="preserve">2  Steuerbares Einkommen Vorjahr (Referenzjahr)</t>
  </si>
  <si>
    <t xml:space="preserve">3  Differenz zum Zielwert (+ = über Ziel)</t>
  </si>
  <si>
    <t xml:space="preserve">4  Säule 3a: verbleibendes Potenzial / empfohlene Einzahlung</t>
  </si>
  <si>
    <t xml:space="preserve">5  Zusätzlicher PK-Einkauf zum Erreichen des Zielwerts (nur steuerlicher Effekt)</t>
  </si>
  <si>
    <t xml:space="preserve">6  Mietstufe und Monatsmiete</t>
  </si>
  <si>
    <t xml:space="preserve">7  Kombinierter Effekt Steuer + Miete p. a. (gegenüber A)</t>
  </si>
  <si>
    <t xml:space="preserve">Szenariovergleich</t>
  </si>
  <si>
    <t xml:space="preserve">Kennzahl (CHF)</t>
  </si>
  <si>
    <t xml:space="preserve">A – Keine zusätzliche Optimierung</t>
  </si>
  <si>
    <t xml:space="preserve">B – Säule 3a optimiert</t>
  </si>
  <si>
    <t xml:space="preserve">C – Zielwert erreichen</t>
  </si>
  <si>
    <t xml:space="preserve">D – Frei definierbar</t>
  </si>
  <si>
    <t xml:space="preserve">Steuerbares Einkommen (Kanton/Gemeinde)</t>
  </si>
  <si>
    <t xml:space="preserve">Zielwert</t>
  </si>
  <si>
    <t xml:space="preserve">Steuerbares Einkommen Vorjahr</t>
  </si>
  <si>
    <t xml:space="preserve">Veränderung gegenüber Vorjahr</t>
  </si>
  <si>
    <t xml:space="preserve">Abweichung zum Zielwert</t>
  </si>
  <si>
    <t xml:space="preserve">Zielwert erreicht?</t>
  </si>
  <si>
    <t xml:space="preserve">Säule 3a gesamt</t>
  </si>
  <si>
    <t xml:space="preserve">PK-Einkäufe gesamt</t>
  </si>
  <si>
    <t xml:space="preserve">Vorsorgeeinzahlungen gesamt</t>
  </si>
  <si>
    <t xml:space="preserve">Zusätzliche Vorsorge gegenüber A</t>
  </si>
  <si>
    <t xml:space="preserve">Geschätzte Steuerbelastung (Näherung)</t>
  </si>
  <si>
    <t xml:space="preserve">Geschätzte Steuerersparnis gegenüber A</t>
  </si>
  <si>
    <t xml:space="preserve">Mietstufe (Nr.)</t>
  </si>
  <si>
    <t xml:space="preserve">Jahresmiete</t>
  </si>
  <si>
    <t xml:space="preserve">Veränderung Miete p. a. gegenüber A (– = günstiger)</t>
  </si>
  <si>
    <t xml:space="preserve">Kombinierter finanzieller Vorteil gegenüber A (Steuer + Miete)</t>
  </si>
  <si>
    <t xml:space="preserve">Warnungen und Hinweise (automatisch)</t>
  </si>
  <si>
    <t xml:space="preserve">Es werden maximal 8 Meldungen angezeigt; vollständige Liste in 05 Berechnung, Abschnitt 8.</t>
  </si>
  <si>
    <t xml:space="preserve">Legende und wichtige Hinweise</t>
  </si>
  <si>
    <t xml:space="preserve">Gelb = Eingabezelle (blau)</t>
  </si>
  <si>
    <t xml:space="preserve">Orange = optionale manuelle Überschreibung</t>
  </si>
  <si>
    <t xml:space="preserve">Grau/weiss = berechnet (geschützt)</t>
  </si>
  <si>
    <t xml:space="preserve">• PK-Einkauf: nur steuerlicher Effekt. Ein Einkauf ist nur im Rahmen des Einkaufspotenzials lt. persönlichem Vorsorgeausweis möglich (Sperrfrist 3 Jahre für Kapitalbezüge).</t>
  </si>
  <si>
    <t xml:space="preserve">• Steuerbetrag und -ersparnis sind Näherungen über den Grenzsteuersatz (kein amtlicher Tarif). Unsichere Grundlagen sind in 06 Grundlagen markiert.</t>
  </si>
  <si>
    <t xml:space="preserve">• Planungsinstrument ohne Gewähr – massgeblich ist die Veranlagung des Steueramts. Keine Steuerberatung.</t>
  </si>
  <si>
    <t xml:space="preserve">02 Eingaben – Einkommen, Familie, Abzüge, Vorsorge, Ziel</t>
  </si>
  <si>
    <t xml:space="preserve">Nur gelbe und orange Zellen werden bearbeitet. Alle Beispielwerte sind Platzhalter und müssen durch Ihre Zahlen ersetzt werden.</t>
  </si>
  <si>
    <t xml:space="preserve">Legende:</t>
  </si>
  <si>
    <t xml:space="preserve">Eingabe</t>
  </si>
  <si>
    <t xml:space="preserve">Optional/Überschreiben</t>
  </si>
  <si>
    <t xml:space="preserve">Berechnet</t>
  </si>
  <si>
    <t xml:space="preserve">Berechnete Zellen sind blattgeschützt (Schutz ohne Passwort aufhebbar: Überprüfen → Blattschutz aufheben).</t>
  </si>
  <si>
    <t xml:space="preserve">1 Allgemeines</t>
  </si>
  <si>
    <t xml:space="preserve">Steuerjahr (Planungsjahr)</t>
  </si>
  <si>
    <t xml:space="preserve">Bestimmt die verwendete Spalte in 06 Grundlagen.</t>
  </si>
  <si>
    <t xml:space="preserve">Zivilstand</t>
  </si>
  <si>
    <t xml:space="preserve">Verheiratet</t>
  </si>
  <si>
    <t xml:space="preserve">Das Modell ist für gemeinsam veranlagte Ehepaare ausgelegt.</t>
  </si>
  <si>
    <t xml:space="preserve">Anzahl Kinder</t>
  </si>
  <si>
    <t xml:space="preserve">davon mit Anspruch auf Kinderabzug</t>
  </si>
  <si>
    <t xml:space="preserve">Minderjährige Kinder sowie Kinder in Erstausbildung (Details: Wegleitung ZH, Ziff. Kinderabzug).</t>
  </si>
  <si>
    <t xml:space="preserve">Wohngemeinde (nur Information)</t>
  </si>
  <si>
    <t xml:space="preserve">Zürich</t>
  </si>
  <si>
    <t xml:space="preserve">2 Einkommen (gemäss Lohnausweis)</t>
  </si>
  <si>
    <t xml:space="preserve">Ehemann</t>
  </si>
  <si>
    <t xml:space="preserve">Ehefrau</t>
  </si>
  <si>
    <t xml:space="preserve">Gemeinsam</t>
  </si>
  <si>
    <t xml:space="preserve">Total</t>
  </si>
  <si>
    <t xml:space="preserve">Bruttolohn (Lohnausweis Ziff. 8)</t>
  </si>
  <si>
    <t xml:space="preserve">Inkl. Bonus, wenn dieser in Ziff. 8 enthalten ist.</t>
  </si>
  <si>
    <t xml:space="preserve">Bonus / variable Vergütung (nur zusätzlich, falls nicht in Ziff. 8)</t>
  </si>
  <si>
    <t xml:space="preserve">AHV/IV/EO/ALV/NBU-Beiträge (Ziff. 9, positiv eingeben)</t>
  </si>
  <si>
    <t xml:space="preserve">BVG-Beiträge ordentlich (Ziff. 10.1, positiv eingeben)</t>
  </si>
  <si>
    <t xml:space="preserve">Ordentliche Beiträge sind bereits im Lohnausweis abgezogen. Freiwillige Einkäufe NICHT hier erfassen.</t>
  </si>
  <si>
    <t xml:space="preserve">Nettolohn berechnet (entspricht Ziff. 11)</t>
  </si>
  <si>
    <t xml:space="preserve">Nettolohn manuell (optional – überschreibt die Berechnung)</t>
  </si>
  <si>
    <t xml:space="preserve">Nur ausfüllen, wenn Ziff. 11 des Lohnausweises vom berechneten Wert abweicht.</t>
  </si>
  <si>
    <t xml:space="preserve">Massgebender Nettolohn</t>
  </si>
  <si>
    <t xml:space="preserve">Weitere Erwerbseinkommen (Nebenerwerb, netto)</t>
  </si>
  <si>
    <t xml:space="preserve">Weitere steuerbare Einkünfte (Renten, Wertschriften, Liegenschaften, netto)</t>
  </si>
  <si>
    <t xml:space="preserve">Nach Abzug der damit zusammenhängenden Kosten (z. B. Schuldzinsen separat unter «Weitere Abzüge»).</t>
  </si>
  <si>
    <t xml:space="preserve">Total steuerbare Einkünfte</t>
  </si>
  <si>
    <t xml:space="preserve">3 Berufsauslagen – Angaben</t>
  </si>
  <si>
    <t xml:space="preserve">Fahrkosten Arbeitsweg effektiv (günstigstes Verkehrsmittel, CHF/Jahr)</t>
  </si>
  <si>
    <t xml:space="preserve">Wird auf den Maximalbetrag gemäss 06 Grundlagen begrenzt (Kanton und Bund getrennt).</t>
  </si>
  <si>
    <t xml:space="preserve">Arbeitstage mit auswärtiger Verpflegung (Anzahl)</t>
  </si>
  <si>
    <t xml:space="preserve">Übrige Berufsauslagen effektiv (nur wenn höher als Pauschale und belegt)</t>
  </si>
  <si>
    <t xml:space="preserve">Leer = Pauschale (3 % des Nettolohns, Min./Max. lt. Grundlagen).</t>
  </si>
  <si>
    <t xml:space="preserve">4 Abzüge (ohne Säule 3a / PK-Einkauf)</t>
  </si>
  <si>
    <t xml:space="preserve">Effektiv bezahlte Versicherungsprämien/Sparzinsen (z. B. Krankenkasse, CHF/Jahr)</t>
  </si>
  <si>
    <t xml:space="preserve">Leer = Maximalabzug wird angenommen. Abzug = tieferer Wert aus effektiv und Maximum.</t>
  </si>
  <si>
    <t xml:space="preserve">Abzugsposition</t>
  </si>
  <si>
    <t xml:space="preserve">Automatisch Kanton</t>
  </si>
  <si>
    <t xml:space="preserve">Manuell Kanton (optional)</t>
  </si>
  <si>
    <t xml:space="preserve">Automatisch Bund</t>
  </si>
  <si>
    <t xml:space="preserve">Manuell Bund (optional)</t>
  </si>
  <si>
    <t xml:space="preserve">VERWENDET Kanton</t>
  </si>
  <si>
    <t xml:space="preserve">VERWENDET Bund</t>
  </si>
  <si>
    <t xml:space="preserve">Hinweis</t>
  </si>
  <si>
    <t xml:space="preserve">Berufsauslagen Ehemann</t>
  </si>
  <si>
    <t xml:space="preserve">Fahrkosten + Verpflegung + übrige (Pauschale).</t>
  </si>
  <si>
    <t xml:space="preserve">Berufsauslagen Ehefrau</t>
  </si>
  <si>
    <t xml:space="preserve">Versicherungsprämien und Sparzinsen</t>
  </si>
  <si>
    <t xml:space="preserve">Ehepaar mit Vorsorgebeiträgen + Zuschlag je Kind.</t>
  </si>
  <si>
    <t xml:space="preserve">Kinderabzug</t>
  </si>
  <si>
    <t xml:space="preserve">Anzahl Kinder mit Abzug × Betrag pro Kind.</t>
  </si>
  <si>
    <t xml:space="preserve">Zweiverdienerabzug</t>
  </si>
  <si>
    <t xml:space="preserve">Nur wenn beide Ehegatten erwerbstätig sind. Regel für ZH unsicher → ggf. manuell überschreiben.</t>
  </si>
  <si>
    <t xml:space="preserve">Verheiratetenabzug (nur direkte Bundessteuer)</t>
  </si>
  <si>
    <t xml:space="preserve">Im Kanton Zürich nicht anwendbar (Kanton: 0).</t>
  </si>
  <si>
    <t xml:space="preserve">Fremdbetreuungskosten der Kinder (manuell, gemäss Wegleitung begrenzt)</t>
  </si>
  <si>
    <t xml:space="preserve">–</t>
  </si>
  <si>
    <t xml:space="preserve">Höchstbeträge Kanton/Bund bitte in der Wegleitung prüfen.</t>
  </si>
  <si>
    <t xml:space="preserve">Weiterer Abzug 1: Spenden</t>
  </si>
  <si>
    <t xml:space="preserve">Beispiel; Bezeichnung in Spalte B frei änderbar.</t>
  </si>
  <si>
    <t xml:space="preserve">Weiterer Abzug 2: (Bezeichnung)</t>
  </si>
  <si>
    <t xml:space="preserve">z. B. Schuldzinsen, Krankheitskosten über Selbstbehalt, Weiterbildung.</t>
  </si>
  <si>
    <t xml:space="preserve">Weiterer Abzug 3: (Bezeichnung)</t>
  </si>
  <si>
    <t xml:space="preserve">Total Abzüge (ohne 3a/PK)</t>
  </si>
  <si>
    <t xml:space="preserve">Bei manuellen Abzügen ohne Bund-Wert wird der Kantonswert auch für den Bund verwendet.</t>
  </si>
  <si>
    <t xml:space="preserve">5 Vorsorge – bereits geleistet oder geplant (= Szenario A)</t>
  </si>
  <si>
    <t xml:space="preserve">Vorsorgesituation (bestimmt das 3a-Maximum)</t>
  </si>
  <si>
    <t xml:space="preserve">mit PK</t>
  </si>
  <si>
    <t xml:space="preserve">«mit PK»: Angestellte mit Pensionskasse. «kein 3a»: z. B. nicht erwerbstätig.</t>
  </si>
  <si>
    <t xml:space="preserve">Säule 3a – bereits geleistet/geplant im Steuerjahr</t>
  </si>
  <si>
    <t xml:space="preserve">PK-Einkauf – bereits geleistet/geplant im Steuerjahr</t>
  </si>
  <si>
    <t xml:space="preserve">Einkaufspotenzial lt. Vorsorgeausweis (maximal möglicher Einkauf, CHF)</t>
  </si>
  <si>
    <t xml:space="preserve">Zwingend aus dem persönlichen Vorsorgeausweis übernehmen. Leer = unbekannt (Warnung).</t>
  </si>
  <si>
    <t xml:space="preserve">6 Planung, Zielwert und Einstellungen</t>
  </si>
  <si>
    <t xml:space="preserve">Zielwert-Modus</t>
  </si>
  <si>
    <t xml:space="preserve">Eigener Zielwert</t>
  </si>
  <si>
    <t xml:space="preserve">«Vorjahr»: steuerbares Einkommen des Referenzjahres gilt als Zielwert.</t>
  </si>
  <si>
    <t xml:space="preserve">Eigener Zielwert steuerbares Einkommen (CHF)</t>
  </si>
  <si>
    <t xml:space="preserve">Sicherheitsmarge unter dem Zielwert (CHF)</t>
  </si>
  <si>
    <t xml:space="preserve">Der Zielwert wird um diesen Betrag unterschritten (Puffer, z. B. wegen Rundung).</t>
  </si>
  <si>
    <t xml:space="preserve">Referenzjahr (Vorjahr) aus 07 Vorjahre</t>
  </si>
  <si>
    <t xml:space="preserve">Muss in 07 Vorjahre, Spalte B, vorkommen.</t>
  </si>
  <si>
    <t xml:space="preserve">Zielwert (verwendet)</t>
  </si>
  <si>
    <t xml:space="preserve">Grenzsteuersatz (Staat + Gemeinde + Bund) für Steuerschätzung</t>
  </si>
  <si>
    <t xml:space="preserve">ANNAHME 28 % – bitte mit dem Steuerrechner des Kantons Zürich kalibrieren (Steuerdifferenz bei CHF 10'000 weniger Einkommen ÷ 10'000).</t>
  </si>
  <si>
    <t xml:space="preserve">Massgebendes Einkommen für die Miete</t>
  </si>
  <si>
    <t xml:space="preserve">Kanton/Gemeinde</t>
  </si>
  <si>
    <t xml:space="preserve">Aufschlag/Abzug auf das Einkommen für die Miete (CHF, optional)</t>
  </si>
  <si>
    <t xml:space="preserve">Falls Ihr Mietmodell z. B. Vermögensanteile einrechnet.</t>
  </si>
  <si>
    <t xml:space="preserve">Szenario B: 3a nur bis zum Zielwert einzahlen?</t>
  </si>
  <si>
    <t xml:space="preserve">Nein</t>
  </si>
  <si>
    <t xml:space="preserve">Nein = 3a-Maximum beider Ehegatten ausschöpfen. Ja = nur so viel, wie zum Erreichen des Zielwerts nötig ist.</t>
  </si>
  <si>
    <t xml:space="preserve">Warnschwelle «PK-Einkauf ungewöhnlich hoch» (CHF)</t>
  </si>
  <si>
    <t xml:space="preserve">03 Optimierung – Simulation von Säule 3a und PK-Einkäufen</t>
  </si>
  <si>
    <t xml:space="preserve">Gelbe Zellen sind Eingaben (Priorität, Szenario D). Alles andere wird berechnet.</t>
  </si>
  <si>
    <t xml:space="preserve">WICHTIG: PK-Einkäufe werden nur hinsichtlich ihres steuerlichen Effekts modelliert. Ein tatsächlicher Einkauf ist nur möglich, soweit gemäss persönlichem Vorsorgeausweis ein Einkaufspotenzial besteht (Reglement der Pensionskasse beachten; nach Einkauf 3 Jahre Sperrfrist für Kapitalbezüge, Art. 79b Abs. 3 BVG).</t>
  </si>
  <si>
    <t xml:space="preserve">1 Ausgangslage (Kanton/Gemeinde)</t>
  </si>
  <si>
    <t xml:space="preserve">Steuerbares Einkommen ohne jede 3a-/PK-Einzahlung</t>
  </si>
  <si>
    <t xml:space="preserve">– bereits geleistete/geplante Vorsorgezahlungen (3a + PK, Szenario A)</t>
  </si>
  <si>
    <t xml:space="preserve">Erwartetes steuerbares Einkommen vor zusätzlichen Einzahlungen (Szenario A)</t>
  </si>
  <si>
    <t xml:space="preserve">Differenz zum Zielwert (+ = über Ziel, Einzahlungen nötig)</t>
  </si>
  <si>
    <t xml:space="preserve">Status</t>
  </si>
  <si>
    <t xml:space="preserve">2 Instrumente und Priorität (Reihenfolge anpassbar: 1 = zuerst)</t>
  </si>
  <si>
    <t xml:space="preserve">Instrument</t>
  </si>
  <si>
    <t xml:space="preserve">Priorität (1–4)</t>
  </si>
  <si>
    <t xml:space="preserve">Bereits geplant (A)</t>
  </si>
  <si>
    <t xml:space="preserve">Maximum / Potenzial total</t>
  </si>
  <si>
    <t xml:space="preserve">Verbleibendes Potenzial</t>
  </si>
  <si>
    <t xml:space="preserve">Säule 3a Ehemann</t>
  </si>
  <si>
    <t xml:space="preserve">Standard: 3a Ehemann, 3a Ehefrau, dann PK-Einkauf.</t>
  </si>
  <si>
    <t xml:space="preserve">Säule 3a Ehefrau</t>
  </si>
  <si>
    <t xml:space="preserve">PK-Einkauf Ehemann</t>
  </si>
  <si>
    <t xml:space="preserve">Potenzial lt. Vorsorgeausweis (02 Eingaben).</t>
  </si>
  <si>
    <t xml:space="preserve">PK-Einkauf Ehefrau</t>
  </si>
  <si>
    <t xml:space="preserve">Prüfung Prioritäten (1–4 je genau einmal)</t>
  </si>
  <si>
    <t xml:space="preserve">3 Zuteilung nach Priorität (Szenario C – Zielwert erreichen)</t>
  </si>
  <si>
    <t xml:space="preserve">Schritt</t>
  </si>
  <si>
    <t xml:space="preserve">Noch benötigt (vorher)</t>
  </si>
  <si>
    <t xml:space="preserve">Zusätzliche Einzahlung</t>
  </si>
  <si>
    <t xml:space="preserve">Noch offen (nachher)</t>
  </si>
  <si>
    <t xml:space="preserve">Total zusätzliche Einzahlungen</t>
  </si>
  <si>
    <t xml:space="preserve">Rest, der nicht erreichbar ist (Potenzial erschöpft)</t>
  </si>
  <si>
    <t xml:space="preserve">4 Ergebnis Szenario C – Aufteilung je Instrument</t>
  </si>
  <si>
    <t xml:space="preserve">Zusätzlich (C)</t>
  </si>
  <si>
    <t xml:space="preserve">Total Szenario C</t>
  </si>
  <si>
    <t xml:space="preserve">Maximum / Potenzial</t>
  </si>
  <si>
    <t xml:space="preserve">← Steuerbares Einkommen C</t>
  </si>
  <si>
    <t xml:space="preserve">5 Szenario B – Säule 3a optimiert (zusätzliche 3a-Einzahlungen)</t>
  </si>
  <si>
    <t xml:space="preserve">Zusätzlich (B)</t>
  </si>
  <si>
    <t xml:space="preserve">Total (B)</t>
  </si>
  <si>
    <t xml:space="preserve">3a-Maximum</t>
  </si>
  <si>
    <t xml:space="preserve">Säule 3a Ehemann – zusätzlich</t>
  </si>
  <si>
    <t xml:space="preserve">Säule 3a Ehefrau – zusätzlich</t>
  </si>
  <si>
    <t xml:space="preserve">Szenario B schöpft das verbleibende 3a-Potenzial aus (bzw. nur bis zum Zielwert, falls in 02 Eingaben «Szenario B: nur bis Zielwert» = Ja). PK-Einkäufe bleiben wie in Szenario A.</t>
  </si>
  <si>
    <t xml:space="preserve">6 Szenario D – frei definierbar (Beträge insgesamt im Steuerjahr, inkl. bereits geplanter)</t>
  </si>
  <si>
    <t xml:space="preserve">Betrag Szenario D</t>
  </si>
  <si>
    <t xml:space="preserve">Total Szenario D</t>
  </si>
  <si>
    <t xml:space="preserve">7 Optimierungsvorschlag (Szenario C)</t>
  </si>
  <si>
    <t xml:space="preserve">Steuerbares Einkommen vor Optimierung (Szenario A)</t>
  </si>
  <si>
    <t xml:space="preserve">Säule 3a Ehemann (zusätzlich)</t>
  </si>
  <si>
    <t xml:space="preserve">Die Zuteilung folgt der Priorität in Abschnitt 2. Bei geänderter Reihenfolge verschiebt sich die Aufteilung zwischen 3a und PK.</t>
  </si>
  <si>
    <t xml:space="preserve">Säule 3a Ehefrau (zusätzlich)</t>
  </si>
  <si>
    <t xml:space="preserve">Verbleibende Differenz nach 3a</t>
  </si>
  <si>
    <t xml:space="preserve">Notwendiger zusätzlicher PK-Einkauf (Ehemann + Ehefrau)</t>
  </si>
  <si>
    <t xml:space="preserve">Resultierendes steuerbares Einkommen</t>
  </si>
  <si>
    <t xml:space="preserve">04 Mietmodell – einkommensabhängige Miete</t>
  </si>
  <si>
    <t xml:space="preserve">Stufen aufsteigend und lückenlos von oben erfassen. «bis» ist inklusive (Einkommen ≤ Grenze = diese Stufe).</t>
  </si>
  <si>
    <t xml:space="preserve">1 Mietstufen (Eingabe)</t>
  </si>
  <si>
    <t xml:space="preserve">Beispielwerte – bitte durch die Stufen gemäss Ihrem Mietvertrag/Reglement ersetzen. Nicht benötigte Zeilen leer lassen.</t>
  </si>
  <si>
    <t xml:space="preserve">Stufe</t>
  </si>
  <si>
    <t xml:space="preserve">Steuerbares Einkommen bis (CHF)</t>
  </si>
  <si>
    <t xml:space="preserve">Monatsmiete (CHF)</t>
  </si>
  <si>
    <t xml:space="preserve">Jahresmiete (berechnet)</t>
  </si>
  <si>
    <t xml:space="preserve">Prüfung</t>
  </si>
  <si>
    <t xml:space="preserve">Stufe 1</t>
  </si>
  <si>
    <t xml:space="preserve">Stufe 2</t>
  </si>
  <si>
    <t xml:space="preserve">Stufe 3</t>
  </si>
  <si>
    <t xml:space="preserve">Stufe 4</t>
  </si>
  <si>
    <t xml:space="preserve">Stufe 5</t>
  </si>
  <si>
    <t xml:space="preserve">Stufe 6</t>
  </si>
  <si>
    <t xml:space="preserve">Stufe 7</t>
  </si>
  <si>
    <t xml:space="preserve">Stufe 8</t>
  </si>
  <si>
    <t xml:space="preserve">Stufe 9</t>
  </si>
  <si>
    <t xml:space="preserve">Stufe 10</t>
  </si>
  <si>
    <t xml:space="preserve">Darüber (Einkommen über letzter Stufe)</t>
  </si>
  <si>
    <t xml:space="preserve">über letzter Stufe</t>
  </si>
  <si>
    <t xml:space="preserve">Massgebendes Einkommen für die Miete:</t>
  </si>
  <si>
    <t xml:space="preserve">Auswahl in 02 Eingaben (Bereich «Planung»). Optionaler Aufschlag dort ebenfalls einstellbar.</t>
  </si>
  <si>
    <t xml:space="preserve">2 Mietstufen-Check (ausgehend von Szenario A – ohne zusätzliche Optimierung)</t>
  </si>
  <si>
    <t xml:space="preserve">Einkommen für die Miete (Szenario A)</t>
  </si>
  <si>
    <t xml:space="preserve">Aktuelle Mietstufe (Nr.)</t>
  </si>
  <si>
    <t xml:space="preserve">Monatsmiete aktuell</t>
  </si>
  <si>
    <t xml:space="preserve">Obergrenze der nächstniedrigeren Stufe</t>
  </si>
  <si>
    <t xml:space="preserve">Zusätzliche Einzahlung nötig, um eine Stufe tiefer zu kommen</t>
  </si>
  <si>
    <t xml:space="preserve">Betrag, um den das steuerbare Einkommen sinken muss (3a oder PK-Einkauf), damit die nächstniedrigere Mietstufe erreicht wird.</t>
  </si>
  <si>
    <t xml:space="preserve">Mietersparnis pro Jahr bei Stufenwechsel</t>
  </si>
  <si>
    <t xml:space="preserve">Steuerersparnis dieser Einzahlung (Grenzsteuersatz)</t>
  </si>
  <si>
    <t xml:space="preserve">Kombinierter Vorteil pro Jahr (Steuer + Miete)</t>
  </si>
  <si>
    <t xml:space="preserve">3 Was-wäre-wenn: zusätzliche Einzahlung (3a oder PK) auf Szenario A</t>
  </si>
  <si>
    <t xml:space="preserve">Zusätzliche Einzahlung (CHF)</t>
  </si>
  <si>
    <t xml:space="preserve">Steuerbares Einkommen für die Miete nach Einzahlung</t>
  </si>
  <si>
    <t xml:space="preserve">Neue Mietstufe (Nr.)</t>
  </si>
  <si>
    <t xml:space="preserve">Neue Monatsmiete</t>
  </si>
  <si>
    <t xml:space="preserve">Mietersparnis pro Jahr</t>
  </si>
  <si>
    <t xml:space="preserve">Steuerersparnis (Grenzsteuersatz × Einzahlung)</t>
  </si>
  <si>
    <t xml:space="preserve">Ergebnis</t>
  </si>
  <si>
    <t xml:space="preserve">Hinweis: Die Miete hängt am steuerbaren Einkommen – eine zusätzliche Einzahlung wirkt doppelt: Steuerersparnis plus ggf. tiefere Mietstufe. Das gebundene Vorsorgekapital bleibt Ihr Vermögen (3a bzw. PK), ist aber bis zur Pensionierung nicht frei verfügbar.</t>
  </si>
  <si>
    <t xml:space="preserve">05 Berechnung – detaillierte Logik</t>
  </si>
  <si>
    <t xml:space="preserve">Alle Zellen berechnet (geschützt). Änderungen erfolgen in 02 Eingaben, 03 Optimierung und 06 Grundlagen.</t>
  </si>
  <si>
    <t xml:space="preserve">1 Status der Grundlagen</t>
  </si>
  <si>
    <t xml:space="preserve">Steuerjahr</t>
  </si>
  <si>
    <t xml:space="preserve">Spaltenindex in 06 Grundlagen (0 = nicht vorhanden)</t>
  </si>
  <si>
    <t xml:space="preserve">Parameter ohne Wert im gewählten Jahr</t>
  </si>
  <si>
    <t xml:space="preserve">Parameter mit Status «prüfen»/«unsicher» im gewählten Jahr</t>
  </si>
  <si>
    <t xml:space="preserve">2 Säule 3a und PK – Potenziale</t>
  </si>
  <si>
    <t xml:space="preserve">Erwerbseinkommen (Basis für 3a-Maximum)</t>
  </si>
  <si>
    <t xml:space="preserve">Vorsorgesituation</t>
  </si>
  <si>
    <t xml:space="preserve">3a bereits geleistet/geplant</t>
  </si>
  <si>
    <t xml:space="preserve">3a-Potenzial verbleibend</t>
  </si>
  <si>
    <t xml:space="preserve">PK-Potenzial erfasst (1 = ja)</t>
  </si>
  <si>
    <t xml:space="preserve">PK-Einkaufspotenzial lt. Vorsorgeausweis</t>
  </si>
  <si>
    <t xml:space="preserve">PK-Einkauf bereits geleistet/geplant</t>
  </si>
  <si>
    <t xml:space="preserve">PK-Potenzial verbleibend (unbegrenzt, falls nicht erfasst)</t>
  </si>
  <si>
    <t xml:space="preserve">3 Berufsauslagen (automatisch)</t>
  </si>
  <si>
    <t xml:space="preserve">Ehemann Kanton</t>
  </si>
  <si>
    <t xml:space="preserve">Ehefrau Kanton</t>
  </si>
  <si>
    <t xml:space="preserve">Ehemann Bund</t>
  </si>
  <si>
    <t xml:space="preserve">Ehefrau Bund</t>
  </si>
  <si>
    <t xml:space="preserve">Fahrkosten effektiv</t>
  </si>
  <si>
    <t xml:space="preserve">Fahrkosten anerkannt (begrenzt)</t>
  </si>
  <si>
    <t xml:space="preserve">Verpflegung (Tage × Satz, begrenzt)</t>
  </si>
  <si>
    <t xml:space="preserve">Übrige Berufsauslagen (Pauschale oder effektiv)</t>
  </si>
  <si>
    <t xml:space="preserve">Total Berufsauslagen (automatisch)</t>
  </si>
  <si>
    <t xml:space="preserve">4 Weitere automatische Abzüge</t>
  </si>
  <si>
    <t xml:space="preserve">Bund</t>
  </si>
  <si>
    <t xml:space="preserve">Maximalabzug Versicherungsprämien (Ehepaar + Kinder)</t>
  </si>
  <si>
    <t xml:space="preserve">Versicherungsabzug (automatisch)</t>
  </si>
  <si>
    <t xml:space="preserve">Kinderabzug (automatisch)</t>
  </si>
  <si>
    <t xml:space="preserve">Niedrigeres Erwerbseinkommen nach Berufsauslagen</t>
  </si>
  <si>
    <t xml:space="preserve">Zweiverdienerabzug (automatisch)</t>
  </si>
  <si>
    <t xml:space="preserve">Verheiratetenabzug (automatisch)</t>
  </si>
  <si>
    <t xml:space="preserve">5 Steuerbares Einkommen vor Säule 3a / PK-Einkauf</t>
  </si>
  <si>
    <t xml:space="preserve">– Berufsauslagen Ehemann</t>
  </si>
  <si>
    <t xml:space="preserve">– Berufsauslagen Ehefrau</t>
  </si>
  <si>
    <t xml:space="preserve">– Versicherungsprämien/Sparzinsen</t>
  </si>
  <si>
    <t xml:space="preserve">– Kinderabzug</t>
  </si>
  <si>
    <t xml:space="preserve">– Zweiverdienerabzug</t>
  </si>
  <si>
    <t xml:space="preserve">– Verheiratetenabzug</t>
  </si>
  <si>
    <t xml:space="preserve">– Fremdbetreuungskosten</t>
  </si>
  <si>
    <t xml:space="preserve">– Weitere Abzüge (Summe)</t>
  </si>
  <si>
    <t xml:space="preserve">Total Abzüge</t>
  </si>
  <si>
    <t xml:space="preserve">Steuerbares Einkommen vor 3a/PK</t>
  </si>
  <si>
    <t xml:space="preserve">Entspricht dem steuerbaren Einkommen, wenn gar keine 3a-/PK-Einzahlungen geleistet würden.</t>
  </si>
  <si>
    <t xml:space="preserve">6 Referenz (Vorjahr) und Zielwert</t>
  </si>
  <si>
    <t xml:space="preserve">Referenzjahr</t>
  </si>
  <si>
    <t xml:space="preserve">Zeile in 07 Vorjahre (0 = nicht gefunden)</t>
  </si>
  <si>
    <t xml:space="preserve">3a Vorjahr (Total)</t>
  </si>
  <si>
    <t xml:space="preserve">PK-Einkäufe Vorjahr (Total)</t>
  </si>
  <si>
    <t xml:space="preserve">Bezahlte Steuern Vorjahr (0 = nicht erfasst)</t>
  </si>
  <si>
    <t xml:space="preserve">Jahresmiete Vorjahr (0 = nicht erfasst)</t>
  </si>
  <si>
    <t xml:space="preserve">Grenzsteuersatz</t>
  </si>
  <si>
    <t xml:space="preserve">7 Szenarien</t>
  </si>
  <si>
    <t xml:space="preserve">3a Ehemann</t>
  </si>
  <si>
    <t xml:space="preserve">3a Ehefrau</t>
  </si>
  <si>
    <t xml:space="preserve">Total Säule 3a</t>
  </si>
  <si>
    <t xml:space="preserve">Total PK-Einkauf</t>
  </si>
  <si>
    <t xml:space="preserve">Total Vorsorgeeinzahlungen</t>
  </si>
  <si>
    <t xml:space="preserve">Zusätzliche Vorsorge gegenüber Szenario A</t>
  </si>
  <si>
    <t xml:space="preserve">Steuerbares Einkommen Kanton/Gemeinde</t>
  </si>
  <si>
    <t xml:space="preserve">Steuerbares Einkommen Bund</t>
  </si>
  <si>
    <t xml:space="preserve">Veränderung gegenüber Vorjahr (– = tiefer)</t>
  </si>
  <si>
    <t xml:space="preserve">Abweichung zum Zielwert (– = unter Ziel)</t>
  </si>
  <si>
    <t xml:space="preserve">Einkommen für die Miete</t>
  </si>
  <si>
    <t xml:space="preserve">Monatsmiete</t>
  </si>
  <si>
    <t xml:space="preserve">Veränderung Miete p. a. gegenüber Szenario A (– = günstiger)</t>
  </si>
  <si>
    <t xml:space="preserve">Veränderung Miete p. a. gegenüber Vorjahr</t>
  </si>
  <si>
    <t xml:space="preserve">Geschätzte Steuerersparnis gegenüber Szenario A</t>
  </si>
  <si>
    <t xml:space="preserve">Näherung: Grenzsteuersatz × Veränderung des steuerbaren Einkommens (Kanton). Progression über grosse Beträge wird nicht abgebildet.</t>
  </si>
  <si>
    <t xml:space="preserve">Geschätzte Steuerersparnis gegenüber «ohne jede 3a/PK»</t>
  </si>
  <si>
    <t xml:space="preserve">Geschätzte Steuerbelastung (Anker: Vorjahr)</t>
  </si>
  <si>
    <t xml:space="preserve">Nur berechenbar, wenn für das Referenzjahr steuerbares Einkommen UND bezahlte Steuern erfasst sind (Näherung).</t>
  </si>
  <si>
    <t xml:space="preserve">Kombinierter Vorteil gegenüber A (Steuer + Miete) p. a.</t>
  </si>
  <si>
    <t xml:space="preserve">Zusätzliche Vorsorge abzüglich Steuer- und Mietvorteil (verbleibender Liquiditätsabfluss)</t>
  </si>
  <si>
    <t xml:space="preserve">Mehr Vorsorge ist kein Aufwand, sondern gebundenes Vermögen; dieser Wert zeigt, wie viel davon nicht durch Steuer-/Mietvorteil «zurückfliesst».</t>
  </si>
  <si>
    <t xml:space="preserve">8 Plausibilitätsprüfungen</t>
  </si>
  <si>
    <t xml:space="preserve">Bedingung (WAHR = Problem)</t>
  </si>
  <si>
    <t xml:space="preserve">Aktiv (1/0)</t>
  </si>
  <si>
    <t xml:space="preserve">Rang</t>
  </si>
  <si>
    <t xml:space="preserve">Meldung</t>
  </si>
  <si>
    <t xml:space="preserve">Grundlagen zum Steuerjahr vorhanden</t>
  </si>
  <si>
    <t xml:space="preserve">Grundlagen vollständig</t>
  </si>
  <si>
    <t xml:space="preserve">Grundlagen verifiziert</t>
  </si>
  <si>
    <t xml:space="preserve">Steuerjahr = aktuelles Kalenderjahr</t>
  </si>
  <si>
    <t xml:space="preserve">Kinder mit Abzug ≤ Anzahl Kinder</t>
  </si>
  <si>
    <t xml:space="preserve">Bruttolohn Ehemann erfasst</t>
  </si>
  <si>
    <t xml:space="preserve">Bruttolohn Ehefrau erfasst</t>
  </si>
  <si>
    <t xml:space="preserve">Zielwert erfasst</t>
  </si>
  <si>
    <t xml:space="preserve">Vorjahr vorhanden</t>
  </si>
  <si>
    <t xml:space="preserve">Referenzjahr &lt; Steuerjahr</t>
  </si>
  <si>
    <t xml:space="preserve">Grenzsteuersatz erfasst</t>
  </si>
  <si>
    <t xml:space="preserve">Versicherungsprämien erfasst</t>
  </si>
  <si>
    <t xml:space="preserve">Mietmodell vollständig und aufsteigend</t>
  </si>
  <si>
    <t xml:space="preserve">Prioritäten gültig</t>
  </si>
  <si>
    <t xml:space="preserve">Negative Beträge</t>
  </si>
  <si>
    <t xml:space="preserve">3a-Maximum überschritten (Szenario A)</t>
  </si>
  <si>
    <t xml:space="preserve">3a-Maximum überschritten (Szenario D)</t>
  </si>
  <si>
    <t xml:space="preserve">PK-Einkauf über Potenzial</t>
  </si>
  <si>
    <t xml:space="preserve">PK-Potenzial nicht erfasst</t>
  </si>
  <si>
    <t xml:space="preserve">Zielwert bereits erreicht</t>
  </si>
  <si>
    <t xml:space="preserve">Zielwert erreichbar</t>
  </si>
  <si>
    <t xml:space="preserve">Notwendiger PK-Einkauf ungewöhnlich hoch</t>
  </si>
  <si>
    <t xml:space="preserve">Anzahl FEHLER</t>
  </si>
  <si>
    <t xml:space="preserve">Anzahl WARNUNG</t>
  </si>
  <si>
    <t xml:space="preserve">Anzahl HINWEIS</t>
  </si>
  <si>
    <t xml:space="preserve">06 Grundlagen – Steuerjahr, Grenzwerte, Quellen, Annahmen</t>
  </si>
  <si>
    <t xml:space="preserve">Alle steuerlichen Werte sind hier zentral erfasst. Jahresspalten in Zeile 8 anpassbar; das Modell greift automatisch auf die Spalte des gewählten Steuerjahrs zu.</t>
  </si>
  <si>
    <t xml:space="preserve">Stand der Recherche</t>
  </si>
  <si>
    <t xml:space="preserve">04.10.2026</t>
  </si>
  <si>
    <t xml:space="preserve">WICHTIG: Offizielle Quellen (zh.ch, estv.admin.ch) waren bei der Erstellung technisch nicht direkt abrufbar. Werte wurden über Suchtreffer/Sekundärquellen ermittelt und sind mit Status «prüfen» bzw. «unsicher» markiert. Bitte vor Verwendung mit der Wegleitung zur Steuererklärung ZH und dem Kreisschreiben ESTV abgleichen.</t>
  </si>
  <si>
    <t xml:space="preserve">Spaltenindex des gewählten Steuerjahrs (0 = keine Grundlagen für dieses Jahr)</t>
  </si>
  <si>
    <t xml:space="preserve">Steuerjahr gemäss 02 Eingaben:</t>
  </si>
  <si>
    <t xml:space="preserve">Parameter</t>
  </si>
  <si>
    <t xml:space="preserve">Ebene</t>
  </si>
  <si>
    <t xml:space="preserve">Aktiver Wert (gewähltes Jahr)</t>
  </si>
  <si>
    <t xml:space="preserve">Quelle</t>
  </si>
  <si>
    <t xml:space="preserve">Bemerkung / Annahme</t>
  </si>
  <si>
    <t xml:space="preserve">Wert vorhanden</t>
  </si>
  <si>
    <t xml:space="preserve">Vorsorge (Bundesrecht, gilt für Kantons- und Bundessteuer)</t>
  </si>
  <si>
    <t xml:space="preserve">Säule 3a – Maximalbetrag mit Pensionskasse (kleines 3a)</t>
  </si>
  <si>
    <t xml:space="preserve">bestätigt</t>
  </si>
  <si>
    <t xml:space="preserve">BVV 3 (SR 831.461.3) Art. 7; Maximalbeträge 2026 gemäss z. B. https://www.raiffeisen.ch/rch/de/privatkunden/vorsorgen-absichern/maximalbetrag.html</t>
  </si>
  <si>
    <t xml:space="preserve">8 % der oberen BVG-Grenze; für 2025 und 2026 gleich hoch (mehrere Quellen).</t>
  </si>
  <si>
    <t xml:space="preserve">Säule 3a – Maximalbetrag ohne Pensionskasse (grosses 3a)</t>
  </si>
  <si>
    <t xml:space="preserve">Nur für Personen ohne 2. Säule (z. B. Selbständige).</t>
  </si>
  <si>
    <t xml:space="preserve">Säule 3a ohne PK – maximal Anteil am Nettoerwerbseinkommen</t>
  </si>
  <si>
    <t xml:space="preserve">Es gilt der kleinere Wert aus Prozentsatz und Maximalbetrag.</t>
  </si>
  <si>
    <t xml:space="preserve">Abzüge Kanton Zürich (Staats- und Gemeindesteuer)</t>
  </si>
  <si>
    <t xml:space="preserve">Kinderabzug pro Kind</t>
  </si>
  <si>
    <t xml:space="preserve">Kanton</t>
  </si>
  <si>
    <t xml:space="preserve">prüfen</t>
  </si>
  <si>
    <t xml:space="preserve">Kt. ZH, Weisung der Finanzdirektion über Sozialabzüge und Steuertarife (ab Steuerperiode 2026), ZStB 34.1: https://www.zh.ch/de/steuern-finanzen/steuern/treuhaender/steuerbuch/steuerbuch-definition/zstb-34-1.html</t>
  </si>
  <si>
    <t xml:space="preserve">Wert 2026 aus Suchtreffer (CHF 9'400); 2025 CHF 9'000. Bitte in Weisung ZStB 34.1 verifizieren.</t>
  </si>
  <si>
    <t xml:space="preserve">Versicherungsabzug Ehepaar (mit Beiträgen an 2./3. Säule)</t>
  </si>
  <si>
    <t xml:space="preserve">Kt. ZH, Wegleitung zur Steuererklärung 2025/2026: https://www.zh.ch/de/steuern-finanzen/steuern/steuern-natuerliche-personen/steuerwissen-natuerliche-personen.html</t>
  </si>
  <si>
    <t xml:space="preserve">Wegleitung Ziff. «Versicherungsprämien und Sparzinsen». Ohne Vorsorgebeiträge gilt ein tieferer Betrag.</t>
  </si>
  <si>
    <t xml:space="preserve">Versicherungsabzug zusätzlich pro Kind</t>
  </si>
  <si>
    <t xml:space="preserve">CHF 1'300 je Kind/unterstützte Person (Wegleitung 2025 und 2026).</t>
  </si>
  <si>
    <t xml:space="preserve">Zweiverdienerabzug – Prozentsatz des niedrigeren Erwerbseinkommens</t>
  </si>
  <si>
    <t xml:space="preserve">unsicher</t>
  </si>
  <si>
    <t xml:space="preserve">UNSICHER: Suchtreffer widersprüchlich (CHF 5'900 vs. 8'100–13'400). Regel und Beträge in der Wegleitung prüfen; sonst in 02 Eingaben manuell überschreiben.</t>
  </si>
  <si>
    <t xml:space="preserve">Zweiverdienerabzug – Minimum</t>
  </si>
  <si>
    <t xml:space="preserve">Siehe oben – manuell zu verifizieren.</t>
  </si>
  <si>
    <t xml:space="preserve">Zweiverdienerabzug – Maximum</t>
  </si>
  <si>
    <t xml:space="preserve">Suchtreffer: CHF 5'900 (Kantons-/Gemeindesteuer). Bitte verifizieren.</t>
  </si>
  <si>
    <t xml:space="preserve">Berufsauslagen – Fahrkosten Arbeitsweg, Maximalabzug</t>
  </si>
  <si>
    <t xml:space="preserve">Kt. ZH, Verfügung der Finanzdirektion über die Pauschalierung von Berufsauslagen (ab Steuerperiode 2026), ZStB 26.1: https://www.zh.ch/de/steuern-finanzen/steuern/treuhaender/steuerbuch/steuerbuch-definition/zstb-26-1.html</t>
  </si>
  <si>
    <t xml:space="preserve">Suchtreffer: CHF 5'200 (2025/2026). Bitte verifizieren.</t>
  </si>
  <si>
    <t xml:space="preserve">Berufsauslagen – Verpflegung pro Arbeitstag auswärts</t>
  </si>
  <si>
    <t xml:space="preserve">CHF 15 pro Tag.</t>
  </si>
  <si>
    <t xml:space="preserve">Berufsauslagen – Verpflegung, Maximum pro Jahr</t>
  </si>
  <si>
    <t xml:space="preserve">CHF 3'200 pro Jahr.</t>
  </si>
  <si>
    <t xml:space="preserve">Übrige Berufsauslagen – Pauschale in % des Nettolohns</t>
  </si>
  <si>
    <t xml:space="preserve">3 % des Nettolohns (Ziff. 11 Lohnausweis).</t>
  </si>
  <si>
    <t xml:space="preserve">Übrige Berufsauslagen – Pauschale Minimum</t>
  </si>
  <si>
    <t xml:space="preserve">Übrige Berufsauslagen – Pauschale Maximum</t>
  </si>
  <si>
    <t xml:space="preserve">Abzüge direkte Bundessteuer (DBG)</t>
  </si>
  <si>
    <t xml:space="preserve">ESTV, Kreisschreiben/Teuerungsausgleich DBG (Familienbesteuerung, Stand 1.1.2026): https://www.estv2.admin.ch/stp/ds/f-familienbesteuerung-de.pdf</t>
  </si>
  <si>
    <t xml:space="preserve">CHF 6'800 (Reform Individualbesteuerung später: CHF 12'000, aufgeteilt – für 2026 nicht relevant).</t>
  </si>
  <si>
    <t xml:space="preserve">2025 nicht verifiziert → leer gelassen.</t>
  </si>
  <si>
    <t xml:space="preserve">Art. 33 Abs. 2 DBG: 50 % des niedrigeren Einkommens.</t>
  </si>
  <si>
    <t xml:space="preserve">Verheiratetenabzug</t>
  </si>
  <si>
    <t xml:space="preserve">Nur direkte Bundessteuer; im Kanton Zürich kein gleichwertiger Abzug (dort Tarif/Splitting).</t>
  </si>
  <si>
    <t xml:space="preserve">Teuerungsanpassung 2026: CHF 3'300 (Suchtreffer).</t>
  </si>
  <si>
    <t xml:space="preserve">Rechtliche Hinweise, Annahmen und Unsicherheiten</t>
  </si>
  <si>
    <t xml:space="preserve">1. Säule 3a: Abzugsfähig sind Einzahlungen des Steuerjahres (tatsächliche Gutschrift bis 31.12.) bis zum Maximalbetrag; Ehegatten beanspruchen den Abzug je einzeln, sofern beide erwerbstätig sind und ein eigenes 3a-Konto haben.</t>
  </si>
  <si>
    <t xml:space="preserve">2. Freiwillige PK-Einkäufe: In Kantons- und Bundessteuer voll abziehbar, soweit Einkaufspotenzial gemäss Vorsorgeausweis besteht. Nach einem Einkauf gilt eine Sperrfrist von 3 Jahren für Kapitalbezüge (Art. 79b Abs. 3 BVG). Das Modell bildet nur den steuerlichen Effekt ab.</t>
  </si>
  <si>
    <t xml:space="preserve">3. Steuerbares Einkommen Kanton/Gemeinde und direkte Bundessteuer unterscheiden sich durch teils abweichende Abzüge (Kinder, Versicherung, Zweiverdiener, Verheiratetenabzug, Fahrkosten). Beide werden getrennt berechnet; Ziel und Miete beziehen sich standardmässig auf Kanton/Gemeinde (einstellbar).</t>
  </si>
  <si>
    <t xml:space="preserve">4. Steuerbetrag: Es wird KEIN amtlicher Steuertarif nachgebildet (Tarif nicht verifizierbar). Die Steuerersparnis wird über einen frei wählbaren Grenzsteuersatz (Staat + Gemeinde + Bund) geschätzt. Bitte mit dem Steuerrechner des Kantons Zürich kalibrieren (Steuer bei zwei Einkommensständen berechnen: Differenz ÷ Differenz).</t>
  </si>
  <si>
    <t xml:space="preserve">5. Rundung: Die amtliche Veranlagung rundet das steuerbare Einkommen ab; diese Rundung ist hier nicht abgebildet (Abweichung &lt; CHF 100).</t>
  </si>
  <si>
    <t xml:space="preserve">6. Zweiverdienerabzug und Versicherungsabzug: Berechnung vereinfacht (siehe Status). Bei Abweichung zur Steuererklärung in 02 Eingaben manuell überschreiben.</t>
  </si>
  <si>
    <t xml:space="preserve">7. Individualbesteuerung: Gemäss Medienberichten wurde die Reform im März 2026 angenommen; die Einführung erfolgt in späteren Steuerjahren. Für das Steuerjahr 2026 nicht anwendbar – Modell bei Einführung anpassen.</t>
  </si>
  <si>
    <t xml:space="preserve">8. Dieses Modell ist ein Planungs- und Simulationsinstrument, keine Steuerberatung. Massgeblich ist immer die Veranlagung des Steueramts.</t>
  </si>
  <si>
    <t xml:space="preserve">Jährliche Aktualisierung – Checkliste</t>
  </si>
  <si>
    <t xml:space="preserve">☐ Zeile 8: neue Jahresspalte anlegen (z. B. 2027) und alle Werte der Tabelle eintragen (Wegleitung ZH + ESTV-Kreisschreiben).</t>
  </si>
  <si>
    <t xml:space="preserve">☐ Status der geänderten Werte auf «bestätigt» setzen, sobald sie gegen die offizielle Quelle geprüft sind.</t>
  </si>
  <si>
    <t xml:space="preserve">☐ 02 Eingaben: Steuerjahr, Löhne, Abzüge, bereits geleistete 3a/PK-Beträge, PK-Einkaufspotenzial (Vorsorgeausweis), Zielwert, Grenzsteuersatz.</t>
  </si>
  <si>
    <t xml:space="preserve">☐ 07 Vorjahre: abgeschlossenes Jahr eintragen (steuerbares Einkommen lt. Veranlagung, 3a, PK, Steuern, Miete) und Referenzjahr in 02 Eingaben anpassen.</t>
  </si>
  <si>
    <t xml:space="preserve">☐ 04 Mietmodell: Einkommensstufen und Mieten gemäss aktuellem Mietvertrag/Reglement prüfen.</t>
  </si>
  <si>
    <t xml:space="preserve">07 Vorjahre – Referenzdaten 2023 bis 2025</t>
  </si>
  <si>
    <t xml:space="preserve">Gelb = Eingabe. Das steuerbare Einkommen des Referenzjahres dient als Referenzwert (Auswahl in 02 Eingaben). Beispielwerte bitte überschreiben.</t>
  </si>
  <si>
    <t xml:space="preserve">Jahr</t>
  </si>
  <si>
    <t xml:space="preserve">Steuerbares Einkommen Bund (optional)</t>
  </si>
  <si>
    <t xml:space="preserve">3a Ehemann effektiv</t>
  </si>
  <si>
    <t xml:space="preserve">3a Ehefrau effektiv</t>
  </si>
  <si>
    <t xml:space="preserve">Total Vorsorge (berechnet)</t>
  </si>
  <si>
    <t xml:space="preserve">Bezahlte Steuern (optional)</t>
  </si>
  <si>
    <t xml:space="preserve">Monatsmiete (optional)</t>
  </si>
  <si>
    <t xml:space="preserve">Monatsmiete lt. Mietmodell (berechnet)</t>
  </si>
  <si>
    <t xml:space="preserve">Verwendete Monatsmiete</t>
  </si>
  <si>
    <t xml:space="preserve">3a-Maximum (Referenz)</t>
  </si>
  <si>
    <t xml:space="preserve">Zeile 2026 (Reserve): wird nach Jahresende zum neuen Vorjahr. Jahreszahlen in Spalte B sind anpassbar. 3a-Maximum 2023/2024: CHF 7'056, 2025: CHF 7'258 (BVV 3). Miete lt. Mietmodell dient als Ersatz, falls keine effektive Miete erfasst ist.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</si>
</sst>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-#,##0;\-"/>
    <numFmt numFmtId="166" formatCode="@"/>
    <numFmt numFmtId="167" formatCode="\+#,##0;\-#,##0;\-"/>
    <numFmt numFmtId="168" formatCode="0"/>
    <numFmt numFmtId="169" formatCode="#,##0"/>
    <numFmt numFmtId="170" formatCode="0.0%"/>
    <numFmt numFmtId="171" formatCode="[&gt;=100000000]&quot;nicht erfasst&quot;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0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00000"/>
        </patternFill>
      </fill>
    </dxf>
    <dxf>
      <fill>
        <patternFill>
          <bgColor rgb="FFBF8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1F2"/>
      <rgbColor rgb="FFFCE4D6"/>
      <rgbColor rgb="FFCC99FF"/>
      <rgbColor rgb="FFFFC7CE"/>
      <rgbColor rgb="FF4F81BD"/>
      <rgbColor rgb="FF33CCCC"/>
      <rgbColor rgb="FF98B855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Steuerbares Einkommen je Szenario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 Dashboard'!B17</c:f>
              <c:strCache>
                <c:ptCount val="1"/>
                <c:pt idx="0">
                  <c:v>Steuerbares Einkommen (Kanton/Gemeinde)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Dashboard'!$C$16:$F$16</c:f>
              <c:strCache>
                <c:ptCount val="4"/>
                <c:pt idx="0">
                  <c:v>A – Keine zusätzliche Optimierung</c:v>
                </c:pt>
                <c:pt idx="1">
                  <c:v>B – Säule 3a optimiert</c:v>
                </c:pt>
                <c:pt idx="2">
                  <c:v>C – Zielwert erreichen</c:v>
                </c:pt>
                <c:pt idx="3">
                  <c:v>D – Frei definierbar</c:v>
                </c:pt>
              </c:strCache>
            </c:strRef>
          </c:cat>
          <c:val>
            <c:numRef>
              <c:f>'01 Dashboard'!$C$17:$F$17</c:f>
              <c:numCache>
                <c:formatCode>#,##0;\-#,##0;\-</c:formatCode>
                <c:ptCount val="4"/>
                <c:pt idx="0">
                  <c:v>177400</c:v>
                </c:pt>
                <c:pt idx="1">
                  <c:v>165884</c:v>
                </c:pt>
                <c:pt idx="2">
                  <c:v>160000</c:v>
                </c:pt>
                <c:pt idx="3">
                  <c:v>160884</c:v>
                </c:pt>
              </c:numCache>
            </c:numRef>
          </c:val>
        </c:ser>
        <c:gapWidth val="150"/>
        <c:overlap val="0"/>
        <c:axId val="19470196"/>
        <c:axId val="62363437"/>
      </c:barChart>
      <c:lineChart>
        <c:grouping val="standard"/>
        <c:varyColors val="0"/>
        <c:ser>
          <c:idx val="1"/>
          <c:order val="1"/>
          <c:tx>
            <c:strRef>
              <c:f>'01 Dashboard'!B18</c:f>
              <c:strCache>
                <c:ptCount val="1"/>
                <c:pt idx="0">
                  <c:v>Zielwert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Dashboard'!$C$16:$F$16</c:f>
              <c:strCache>
                <c:ptCount val="4"/>
                <c:pt idx="0">
                  <c:v>A – Keine zusätzliche Optimierung</c:v>
                </c:pt>
                <c:pt idx="1">
                  <c:v>B – Säule 3a optimiert</c:v>
                </c:pt>
                <c:pt idx="2">
                  <c:v>C – Zielwert erreichen</c:v>
                </c:pt>
                <c:pt idx="3">
                  <c:v>D – Frei definierbar</c:v>
                </c:pt>
              </c:strCache>
            </c:strRef>
          </c:cat>
          <c:val>
            <c:numRef>
              <c:f>'01 Dashboard'!$C$18:$F$18</c:f>
              <c:numCache>
                <c:formatCode>#,##0;\-#,##0;\-</c:formatCode>
                <c:ptCount val="4"/>
                <c:pt idx="0">
                  <c:v>160000</c:v>
                </c:pt>
                <c:pt idx="1">
                  <c:v>160000</c:v>
                </c:pt>
                <c:pt idx="2">
                  <c:v>160000</c:v>
                </c:pt>
                <c:pt idx="3">
                  <c:v>160000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'01 Dashboard'!B19</c:f>
              <c:strCache>
                <c:ptCount val="1"/>
                <c:pt idx="0">
                  <c:v>Steuerbares Einkommen Vorjahr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Dashboard'!$C$16:$F$16</c:f>
              <c:strCache>
                <c:ptCount val="4"/>
                <c:pt idx="0">
                  <c:v>A – Keine zusätzliche Optimierung</c:v>
                </c:pt>
                <c:pt idx="1">
                  <c:v>B – Säule 3a optimiert</c:v>
                </c:pt>
                <c:pt idx="2">
                  <c:v>C – Zielwert erreichen</c:v>
                </c:pt>
                <c:pt idx="3">
                  <c:v>D – Frei definierbar</c:v>
                </c:pt>
              </c:strCache>
            </c:strRef>
          </c:cat>
          <c:val>
            <c:numRef>
              <c:f>'01 Dashboard'!$C$19:$F$19</c:f>
              <c:numCache>
                <c:formatCode>#,##0;\-#,##0;\-</c:formatCode>
                <c:ptCount val="4"/>
                <c:pt idx="0">
                  <c:v>165000</c:v>
                </c:pt>
                <c:pt idx="1">
                  <c:v>165000</c:v>
                </c:pt>
                <c:pt idx="2">
                  <c:v>165000</c:v>
                </c:pt>
                <c:pt idx="3">
                  <c:v>165000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70196"/>
        <c:axId val="62363437"/>
      </c:lineChart>
      <c:catAx>
        <c:axId val="194701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63437"/>
        <c:crosses val="autoZero"/>
        <c:auto val="1"/>
        <c:lblAlgn val="ctr"/>
        <c:lblOffset val="100"/>
        <c:noMultiLvlLbl val="0"/>
      </c:catAx>
      <c:valAx>
        <c:axId val="623634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01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17</xdr:col>
      <xdr:colOff>103320</xdr:colOff>
      <xdr:row>12</xdr:row>
      <xdr:rowOff>163800</xdr:rowOff>
    </xdr:to>
    <xdr:graphicFrame>
      <xdr:nvGraphicFramePr>
        <xdr:cNvPr id="0" name="Chart 1"/>
        <xdr:cNvGraphicFramePr/>
      </xdr:nvGraphicFramePr>
      <xdr:xfrm>
        <a:off x="12445920" y="96192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6" min="3" style="0" width="21"/>
    <col collapsed="false" customWidth="true" hidden="false" outlineLevel="0" max="7" min="7" style="0" width="4"/>
    <col collapsed="false" customWidth="true" hidden="false" outlineLevel="0" max="8" min="8" style="0" width="3"/>
  </cols>
  <sheetData>
    <row r="1" customFormat="false" ht="24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tr">
        <f aca="false">"Steuerjahr "&amp;'02 Eingaben'!$C$7&amp;" · Ehepaar mit "&amp;'02 Eingaben'!$C$9&amp;" Kindern · Planungsstand: erwartetes steuerbares Einkommen, Zielwert, Vorsorge und Miete"</f>
        <v>Steuerjahr 2026 · Ehepaar mit 3 Kindern · Planungsstand: erwartetes steuerbares Einkommen, Zielwert, Vorsorge und Miete</v>
      </c>
    </row>
    <row r="3" customFormat="false" ht="21.75" hidden="false" customHeight="true" outlineLevel="0" collapsed="false">
      <c r="B3" s="3" t="str">
        <f aca="false">IF('05 Berechnung'!$C$118&gt;0,"● "&amp;'05 Berechnung'!$C$118&amp;" FEHLER – Ergebnis nicht verlässlich (siehe Prüfungen unten)",IF('05 Berechnung'!$C$119&gt;0,"● "&amp;'05 Berechnung'!$C$119&amp;" Warnung(en) – siehe unten",IF('05 Berechnung'!$C$120&gt;0,"● Keine Warnungen – "&amp;'05 Berechnung'!$C$120&amp;" Hinweis(e) unten","● Alle Plausibilitätsprüfungen bestanden")))</f>
        <v>● Keine Warnungen – 1 Hinweis(e) unten</v>
      </c>
      <c r="C3" s="3"/>
      <c r="D3" s="3"/>
      <c r="E3" s="3"/>
      <c r="F3" s="3"/>
    </row>
    <row r="5" customFormat="false" ht="18" hidden="false" customHeight="true" outlineLevel="0" collapsed="false">
      <c r="B5" s="4" t="s">
        <v>1</v>
      </c>
      <c r="C5" s="4"/>
      <c r="D5" s="4"/>
      <c r="E5" s="4"/>
      <c r="F5" s="4"/>
    </row>
    <row r="6" customFormat="false" ht="30" hidden="false" customHeight="true" outlineLevel="0" collapsed="false">
      <c r="B6" s="5" t="s">
        <v>2</v>
      </c>
      <c r="C6" s="5" t="s">
        <v>3</v>
      </c>
      <c r="D6" s="5" t="s">
        <v>4</v>
      </c>
      <c r="E6" s="5" t="s">
        <v>5</v>
      </c>
      <c r="F6" s="5"/>
    </row>
    <row r="7" customFormat="false" ht="30" hidden="false" customHeight="true" outlineLevel="0" collapsed="false">
      <c r="B7" s="6" t="s">
        <v>6</v>
      </c>
      <c r="C7" s="7" t="n">
        <f aca="false">'05 Berechnung'!$C$75</f>
        <v>177400</v>
      </c>
      <c r="D7" s="8" t="n">
        <f aca="false">'05 Berechnung'!$E$75</f>
        <v>160000</v>
      </c>
      <c r="E7" s="9" t="str">
        <f aca="false">"Vor Vorsorge-Optimierung: CHF "&amp;FIXED('05 Berechnung'!$C$52,0)</f>
        <v>Vor Vorsorge-Optimierung: CHF 180,400</v>
      </c>
      <c r="F7" s="9"/>
    </row>
    <row r="8" customFormat="false" ht="30" hidden="false" customHeight="true" outlineLevel="0" collapsed="false">
      <c r="B8" s="6" t="s">
        <v>7</v>
      </c>
      <c r="C8" s="7" t="n">
        <f aca="false">'05 Berechnung'!$C$57</f>
        <v>165000</v>
      </c>
      <c r="D8" s="8" t="n">
        <f aca="false">'05 Berechnung'!$C$57</f>
        <v>165000</v>
      </c>
      <c r="E8" s="9" t="str">
        <f aca="false">"Referenzjahr "&amp;'05 Berechnung'!$C$55</f>
        <v>Referenzjahr 2025</v>
      </c>
      <c r="F8" s="9"/>
    </row>
    <row r="9" customFormat="false" ht="30" hidden="false" customHeight="true" outlineLevel="0" collapsed="false">
      <c r="B9" s="6" t="s">
        <v>8</v>
      </c>
      <c r="C9" s="10" t="n">
        <f aca="false">'05 Berechnung'!$C$78</f>
        <v>17400</v>
      </c>
      <c r="D9" s="11" t="n">
        <f aca="false">'05 Berechnung'!$E$78</f>
        <v>0</v>
      </c>
      <c r="E9" s="9" t="str">
        <f aca="false">"Zielwert: CHF "&amp;FIXED('05 Berechnung'!$C$62,0)</f>
        <v>Zielwert: CHF 160,000</v>
      </c>
      <c r="F9" s="9"/>
    </row>
    <row r="10" customFormat="false" ht="30" hidden="false" customHeight="true" outlineLevel="0" collapsed="false">
      <c r="B10" s="6" t="s">
        <v>9</v>
      </c>
      <c r="C10" s="7" t="n">
        <f aca="false">'05 Berechnung'!$C$16+'05 Berechnung'!$D$16</f>
        <v>11516</v>
      </c>
      <c r="D10" s="8" t="n">
        <f aca="false">'03 Optimierung'!$D$33+'03 Optimierung'!$D$34</f>
        <v>11516</v>
      </c>
      <c r="E10" s="9" t="str">
        <f aca="false">"Empfehlung Ehemann CHF "&amp;FIXED('03 Optimierung'!$D$33,0)&amp;" · Ehefrau CHF "&amp;FIXED('03 Optimierung'!$D$34,0)</f>
        <v>Empfehlung Ehemann CHF 4,258 · Ehefrau CHF 7,258</v>
      </c>
      <c r="F10" s="9"/>
    </row>
    <row r="11" customFormat="false" ht="30" hidden="false" customHeight="true" outlineLevel="0" collapsed="false">
      <c r="B11" s="6" t="s">
        <v>10</v>
      </c>
      <c r="C11" s="7" t="n">
        <f aca="false">0</f>
        <v>0</v>
      </c>
      <c r="D11" s="8" t="n">
        <f aca="false">'03 Optimierung'!$D$35+'03 Optimierung'!$D$36</f>
        <v>5884</v>
      </c>
      <c r="E11" s="9" t="str">
        <f aca="false">"Nur möglich bei Einkaufspotenzial lt. Vorsorgeausweis!"</f>
        <v>Nur möglich bei Einkaufspotenzial lt. Vorsorgeausweis!</v>
      </c>
      <c r="F11" s="9"/>
    </row>
    <row r="12" customFormat="false" ht="30" hidden="false" customHeight="true" outlineLevel="0" collapsed="false">
      <c r="B12" s="6" t="s">
        <v>11</v>
      </c>
      <c r="C12" s="12" t="str">
        <f aca="false">"Stufe "&amp;'05 Berechnung'!$C$81&amp;" · CHF "&amp;FIXED('05 Berechnung'!$C$82,0)</f>
        <v>Stufe 5 · CHF 2,700</v>
      </c>
      <c r="D12" s="13" t="str">
        <f aca="false">"Stufe "&amp;'05 Berechnung'!$E$81&amp;" · CHF "&amp;FIXED('05 Berechnung'!$E$82,0)</f>
        <v>Stufe 4 · CHF 2,500</v>
      </c>
      <c r="E12" s="9" t="str">
        <f aca="false">"Mietänderung p. a.: CHF "&amp;FIXED('05 Berechnung'!$E$84,0)&amp;" (– = günstiger)"</f>
        <v>Mietänderung p. a.: CHF -2,400 (– = günstiger)</v>
      </c>
      <c r="F12" s="9"/>
    </row>
    <row r="13" customFormat="false" ht="30" hidden="false" customHeight="true" outlineLevel="0" collapsed="false">
      <c r="B13" s="6" t="s">
        <v>12</v>
      </c>
      <c r="C13" s="10" t="n">
        <f aca="false">0</f>
        <v>0</v>
      </c>
      <c r="D13" s="11" t="n">
        <f aca="false">'05 Berechnung'!$E$89</f>
        <v>7272</v>
      </c>
      <c r="E13" s="9" t="str">
        <f aca="false">"Steuer ca. CHF "&amp;FIXED('05 Berechnung'!$E$86,0)&amp;" + Miete CHF "&amp;FIXED('05 Berechnung'!$C$83-'05 Berechnung'!$E$83,0)</f>
        <v>Steuer ca. CHF 4,872 + Miete CHF 2,400</v>
      </c>
      <c r="F13" s="9"/>
    </row>
    <row r="15" customFormat="false" ht="18" hidden="false" customHeight="true" outlineLevel="0" collapsed="false">
      <c r="B15" s="4" t="s">
        <v>13</v>
      </c>
      <c r="C15" s="4"/>
      <c r="D15" s="4"/>
      <c r="E15" s="4"/>
      <c r="F15" s="4"/>
    </row>
    <row r="16" customFormat="false" ht="43.5" hidden="false" customHeight="true" outlineLevel="0" collapsed="false"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</row>
    <row r="17" customFormat="false" ht="15" hidden="false" customHeight="false" outlineLevel="0" collapsed="false">
      <c r="B17" s="6" t="s">
        <v>19</v>
      </c>
      <c r="C17" s="8" t="n">
        <f aca="false">'05 Berechnung'!$C$75</f>
        <v>177400</v>
      </c>
      <c r="D17" s="8" t="n">
        <f aca="false">'05 Berechnung'!$D$75</f>
        <v>165884</v>
      </c>
      <c r="E17" s="8" t="n">
        <f aca="false">'05 Berechnung'!$E$75</f>
        <v>160000</v>
      </c>
      <c r="F17" s="8" t="n">
        <f aca="false">'05 Berechnung'!$F$75</f>
        <v>160884</v>
      </c>
    </row>
    <row r="18" customFormat="false" ht="15" hidden="false" customHeight="false" outlineLevel="0" collapsed="false">
      <c r="B18" s="14" t="s">
        <v>20</v>
      </c>
      <c r="C18" s="15" t="n">
        <f aca="false">'05 Berechnung'!$C$62</f>
        <v>160000</v>
      </c>
      <c r="D18" s="15" t="n">
        <f aca="false">'05 Berechnung'!$C$62</f>
        <v>160000</v>
      </c>
      <c r="E18" s="15" t="n">
        <f aca="false">'05 Berechnung'!$C$62</f>
        <v>160000</v>
      </c>
      <c r="F18" s="15" t="n">
        <f aca="false">'05 Berechnung'!$C$62</f>
        <v>160000</v>
      </c>
    </row>
    <row r="19" customFormat="false" ht="15" hidden="false" customHeight="false" outlineLevel="0" collapsed="false">
      <c r="B19" s="14" t="s">
        <v>21</v>
      </c>
      <c r="C19" s="15" t="n">
        <f aca="false">'05 Berechnung'!$C$57</f>
        <v>165000</v>
      </c>
      <c r="D19" s="15" t="n">
        <f aca="false">'05 Berechnung'!$C$57</f>
        <v>165000</v>
      </c>
      <c r="E19" s="15" t="n">
        <f aca="false">'05 Berechnung'!$C$57</f>
        <v>165000</v>
      </c>
      <c r="F19" s="15" t="n">
        <f aca="false">'05 Berechnung'!$C$57</f>
        <v>165000</v>
      </c>
    </row>
    <row r="20" customFormat="false" ht="15" hidden="false" customHeight="false" outlineLevel="0" collapsed="false">
      <c r="B20" s="14" t="s">
        <v>22</v>
      </c>
      <c r="C20" s="16" t="n">
        <f aca="false">'05 Berechnung'!$C$77</f>
        <v>12400</v>
      </c>
      <c r="D20" s="16" t="n">
        <f aca="false">'05 Berechnung'!$D$77</f>
        <v>884</v>
      </c>
      <c r="E20" s="16" t="n">
        <f aca="false">'05 Berechnung'!$E$77</f>
        <v>-5000</v>
      </c>
      <c r="F20" s="16" t="n">
        <f aca="false">'05 Berechnung'!$F$77</f>
        <v>-4116</v>
      </c>
    </row>
    <row r="21" customFormat="false" ht="15" hidden="false" customHeight="false" outlineLevel="0" collapsed="false">
      <c r="B21" s="14" t="s">
        <v>23</v>
      </c>
      <c r="C21" s="16" t="n">
        <f aca="false">'05 Berechnung'!$C$78</f>
        <v>17400</v>
      </c>
      <c r="D21" s="16" t="n">
        <f aca="false">'05 Berechnung'!$D$78</f>
        <v>5884</v>
      </c>
      <c r="E21" s="16" t="n">
        <f aca="false">'05 Berechnung'!$E$78</f>
        <v>0</v>
      </c>
      <c r="F21" s="16" t="n">
        <f aca="false">'05 Berechnung'!$F$78</f>
        <v>884</v>
      </c>
    </row>
    <row r="22" customFormat="false" ht="15" hidden="false" customHeight="false" outlineLevel="0" collapsed="false">
      <c r="B22" s="14" t="s">
        <v>24</v>
      </c>
      <c r="C22" s="17" t="str">
        <f aca="false">'05 Berechnung'!$C$79</f>
        <v>Nein</v>
      </c>
      <c r="D22" s="17" t="str">
        <f aca="false">'05 Berechnung'!$D$79</f>
        <v>Nein</v>
      </c>
      <c r="E22" s="17" t="str">
        <f aca="false">'05 Berechnung'!$E$79</f>
        <v>Ja</v>
      </c>
      <c r="F22" s="17" t="str">
        <f aca="false">'05 Berechnung'!$F$79</f>
        <v>Nein</v>
      </c>
    </row>
    <row r="23" customFormat="false" ht="15" hidden="false" customHeight="false" outlineLevel="0" collapsed="false">
      <c r="B23" s="14" t="s">
        <v>25</v>
      </c>
      <c r="C23" s="15" t="n">
        <f aca="false">'05 Berechnung'!$C$71</f>
        <v>3000</v>
      </c>
      <c r="D23" s="15" t="n">
        <f aca="false">'05 Berechnung'!$D$71</f>
        <v>14516</v>
      </c>
      <c r="E23" s="15" t="n">
        <f aca="false">'05 Berechnung'!$E$71</f>
        <v>14516</v>
      </c>
      <c r="F23" s="15" t="n">
        <f aca="false">'05 Berechnung'!$F$71</f>
        <v>14516</v>
      </c>
    </row>
    <row r="24" customFormat="false" ht="15" hidden="false" customHeight="false" outlineLevel="0" collapsed="false">
      <c r="B24" s="14" t="s">
        <v>26</v>
      </c>
      <c r="C24" s="15" t="n">
        <f aca="false">'05 Berechnung'!$C$72</f>
        <v>0</v>
      </c>
      <c r="D24" s="15" t="n">
        <f aca="false">'05 Berechnung'!$D$72</f>
        <v>0</v>
      </c>
      <c r="E24" s="15" t="n">
        <f aca="false">'05 Berechnung'!$E$72</f>
        <v>5884</v>
      </c>
      <c r="F24" s="15" t="n">
        <f aca="false">'05 Berechnung'!$F$72</f>
        <v>5000</v>
      </c>
    </row>
    <row r="25" customFormat="false" ht="15" hidden="false" customHeight="false" outlineLevel="0" collapsed="false">
      <c r="B25" s="6" t="s">
        <v>27</v>
      </c>
      <c r="C25" s="8" t="n">
        <f aca="false">'05 Berechnung'!$C$73</f>
        <v>3000</v>
      </c>
      <c r="D25" s="8" t="n">
        <f aca="false">'05 Berechnung'!$D$73</f>
        <v>14516</v>
      </c>
      <c r="E25" s="8" t="n">
        <f aca="false">'05 Berechnung'!$E$73</f>
        <v>20400</v>
      </c>
      <c r="F25" s="8" t="n">
        <f aca="false">'05 Berechnung'!$F$73</f>
        <v>19516</v>
      </c>
    </row>
    <row r="26" customFormat="false" ht="15" hidden="false" customHeight="false" outlineLevel="0" collapsed="false">
      <c r="B26" s="14" t="s">
        <v>28</v>
      </c>
      <c r="C26" s="15" t="n">
        <f aca="false">'05 Berechnung'!$C$74</f>
        <v>0</v>
      </c>
      <c r="D26" s="15" t="n">
        <f aca="false">'05 Berechnung'!$D$74</f>
        <v>11516</v>
      </c>
      <c r="E26" s="15" t="n">
        <f aca="false">'05 Berechnung'!$E$74</f>
        <v>17400</v>
      </c>
      <c r="F26" s="15" t="n">
        <f aca="false">'05 Berechnung'!$F$74</f>
        <v>16516</v>
      </c>
    </row>
    <row r="27" customFormat="false" ht="15" hidden="false" customHeight="false" outlineLevel="0" collapsed="false">
      <c r="B27" s="14" t="s">
        <v>29</v>
      </c>
      <c r="C27" s="15" t="n">
        <f aca="false">'05 Berechnung'!$C$88</f>
        <v>34472</v>
      </c>
      <c r="D27" s="15" t="n">
        <f aca="false">'05 Berechnung'!$D$88</f>
        <v>31247.52</v>
      </c>
      <c r="E27" s="15" t="n">
        <f aca="false">'05 Berechnung'!$E$88</f>
        <v>29600</v>
      </c>
      <c r="F27" s="15" t="n">
        <f aca="false">'05 Berechnung'!$F$88</f>
        <v>29847.52</v>
      </c>
    </row>
    <row r="28" customFormat="false" ht="15" hidden="false" customHeight="false" outlineLevel="0" collapsed="false">
      <c r="B28" s="14" t="s">
        <v>30</v>
      </c>
      <c r="C28" s="15" t="n">
        <f aca="false">'05 Berechnung'!$C$86</f>
        <v>0</v>
      </c>
      <c r="D28" s="15" t="n">
        <f aca="false">'05 Berechnung'!$D$86</f>
        <v>3224.48</v>
      </c>
      <c r="E28" s="15" t="n">
        <f aca="false">'05 Berechnung'!$E$86</f>
        <v>4872</v>
      </c>
      <c r="F28" s="15" t="n">
        <f aca="false">'05 Berechnung'!$F$86</f>
        <v>4624.48</v>
      </c>
    </row>
    <row r="29" customFormat="false" ht="15" hidden="false" customHeight="false" outlineLevel="0" collapsed="false">
      <c r="B29" s="14" t="s">
        <v>31</v>
      </c>
      <c r="C29" s="18" t="n">
        <f aca="false">'05 Berechnung'!$C$81</f>
        <v>5</v>
      </c>
      <c r="D29" s="18" t="n">
        <f aca="false">'05 Berechnung'!$D$81</f>
        <v>5</v>
      </c>
      <c r="E29" s="18" t="n">
        <f aca="false">'05 Berechnung'!$E$81</f>
        <v>4</v>
      </c>
      <c r="F29" s="18" t="n">
        <f aca="false">'05 Berechnung'!$F$81</f>
        <v>5</v>
      </c>
    </row>
    <row r="30" customFormat="false" ht="15" hidden="false" customHeight="false" outlineLevel="0" collapsed="false">
      <c r="B30" s="14" t="s">
        <v>32</v>
      </c>
      <c r="C30" s="15" t="n">
        <f aca="false">'05 Berechnung'!$C$83</f>
        <v>32400</v>
      </c>
      <c r="D30" s="15" t="n">
        <f aca="false">'05 Berechnung'!$D$83</f>
        <v>32400</v>
      </c>
      <c r="E30" s="15" t="n">
        <f aca="false">'05 Berechnung'!$E$83</f>
        <v>30000</v>
      </c>
      <c r="F30" s="15" t="n">
        <f aca="false">'05 Berechnung'!$F$83</f>
        <v>32400</v>
      </c>
    </row>
    <row r="31" customFormat="false" ht="15" hidden="false" customHeight="false" outlineLevel="0" collapsed="false">
      <c r="B31" s="14" t="s">
        <v>33</v>
      </c>
      <c r="C31" s="16" t="n">
        <f aca="false">'05 Berechnung'!$C$84</f>
        <v>0</v>
      </c>
      <c r="D31" s="16" t="n">
        <f aca="false">'05 Berechnung'!$D$84</f>
        <v>0</v>
      </c>
      <c r="E31" s="16" t="n">
        <f aca="false">'05 Berechnung'!$E$84</f>
        <v>-2400</v>
      </c>
      <c r="F31" s="16" t="n">
        <f aca="false">'05 Berechnung'!$F$84</f>
        <v>0</v>
      </c>
    </row>
    <row r="32" customFormat="false" ht="15" hidden="false" customHeight="false" outlineLevel="0" collapsed="false">
      <c r="B32" s="6" t="s">
        <v>34</v>
      </c>
      <c r="C32" s="11" t="n">
        <f aca="false">'05 Berechnung'!$C$89</f>
        <v>0</v>
      </c>
      <c r="D32" s="11" t="n">
        <f aca="false">'05 Berechnung'!$D$89</f>
        <v>3224.48</v>
      </c>
      <c r="E32" s="11" t="n">
        <f aca="false">'05 Berechnung'!$E$89</f>
        <v>7272</v>
      </c>
      <c r="F32" s="11" t="n">
        <f aca="false">'05 Berechnung'!$F$89</f>
        <v>4624.48</v>
      </c>
    </row>
    <row r="34" customFormat="false" ht="18" hidden="false" customHeight="true" outlineLevel="0" collapsed="false">
      <c r="B34" s="4" t="s">
        <v>35</v>
      </c>
      <c r="C34" s="4"/>
      <c r="D34" s="4"/>
      <c r="E34" s="4"/>
      <c r="F34" s="4"/>
    </row>
    <row r="35" customFormat="false" ht="30" hidden="false" customHeight="true" outlineLevel="0" collapsed="false">
      <c r="B35" s="9" t="str">
        <f aca="false">IFERROR(INDEX('05 Berechnung'!$B$94:$B$116,MATCH(1,'05 Berechnung'!$F$94:$F$116,0)),"")</f>
        <v>Grundlagen verifiziert</v>
      </c>
      <c r="C35" s="12" t="str">
        <f aca="false">IFERROR(INDEX('05 Berechnung'!$C$94:$C$116,MATCH(1,'05 Berechnung'!$F$94:$F$116,0)),"")</f>
        <v>HINWEIS</v>
      </c>
      <c r="D35" s="9" t="str">
        <f aca="false">IFERROR(INDEX('05 Berechnung'!$G$94:$G$116,MATCH(1,'05 Berechnung'!$F$94:$F$116,0)),"")</f>
        <v>24 verwendete Parameter sind in 06 Grundlagen mit «prüfen»/«unsicher» markiert – bitte gegen die offizielle Wegleitung verifizieren.</v>
      </c>
      <c r="E35" s="9"/>
      <c r="F35" s="9"/>
    </row>
    <row r="36" customFormat="false" ht="30" hidden="false" customHeight="true" outlineLevel="0" collapsed="false">
      <c r="B36" s="9" t="str">
        <f aca="false">IFERROR(INDEX('05 Berechnung'!$B$94:$B$116,MATCH(2,'05 Berechnung'!$F$94:$F$116,0)),"")</f>
        <v/>
      </c>
      <c r="C36" s="12" t="str">
        <f aca="false">IFERROR(INDEX('05 Berechnung'!$C$94:$C$116,MATCH(2,'05 Berechnung'!$F$94:$F$116,0)),"")</f>
        <v/>
      </c>
      <c r="D36" s="9" t="str">
        <f aca="false">IFERROR(INDEX('05 Berechnung'!$G$94:$G$116,MATCH(2,'05 Berechnung'!$F$94:$F$116,0)),"")</f>
        <v/>
      </c>
      <c r="E36" s="9"/>
      <c r="F36" s="9"/>
    </row>
    <row r="37" customFormat="false" ht="30" hidden="false" customHeight="true" outlineLevel="0" collapsed="false">
      <c r="B37" s="9" t="str">
        <f aca="false">IFERROR(INDEX('05 Berechnung'!$B$94:$B$116,MATCH(3,'05 Berechnung'!$F$94:$F$116,0)),"")</f>
        <v/>
      </c>
      <c r="C37" s="12" t="str">
        <f aca="false">IFERROR(INDEX('05 Berechnung'!$C$94:$C$116,MATCH(3,'05 Berechnung'!$F$94:$F$116,0)),"")</f>
        <v/>
      </c>
      <c r="D37" s="9" t="str">
        <f aca="false">IFERROR(INDEX('05 Berechnung'!$G$94:$G$116,MATCH(3,'05 Berechnung'!$F$94:$F$116,0)),"")</f>
        <v/>
      </c>
      <c r="E37" s="9"/>
      <c r="F37" s="9"/>
    </row>
    <row r="38" customFormat="false" ht="30" hidden="false" customHeight="true" outlineLevel="0" collapsed="false">
      <c r="B38" s="9" t="str">
        <f aca="false">IFERROR(INDEX('05 Berechnung'!$B$94:$B$116,MATCH(4,'05 Berechnung'!$F$94:$F$116,0)),"")</f>
        <v/>
      </c>
      <c r="C38" s="12" t="str">
        <f aca="false">IFERROR(INDEX('05 Berechnung'!$C$94:$C$116,MATCH(4,'05 Berechnung'!$F$94:$F$116,0)),"")</f>
        <v/>
      </c>
      <c r="D38" s="9" t="str">
        <f aca="false">IFERROR(INDEX('05 Berechnung'!$G$94:$G$116,MATCH(4,'05 Berechnung'!$F$94:$F$116,0)),"")</f>
        <v/>
      </c>
      <c r="E38" s="9"/>
      <c r="F38" s="9"/>
    </row>
    <row r="39" customFormat="false" ht="30" hidden="false" customHeight="true" outlineLevel="0" collapsed="false">
      <c r="B39" s="9" t="str">
        <f aca="false">IFERROR(INDEX('05 Berechnung'!$B$94:$B$116,MATCH(5,'05 Berechnung'!$F$94:$F$116,0)),"")</f>
        <v/>
      </c>
      <c r="C39" s="12" t="str">
        <f aca="false">IFERROR(INDEX('05 Berechnung'!$C$94:$C$116,MATCH(5,'05 Berechnung'!$F$94:$F$116,0)),"")</f>
        <v/>
      </c>
      <c r="D39" s="9" t="str">
        <f aca="false">IFERROR(INDEX('05 Berechnung'!$G$94:$G$116,MATCH(5,'05 Berechnung'!$F$94:$F$116,0)),"")</f>
        <v/>
      </c>
      <c r="E39" s="9"/>
      <c r="F39" s="9"/>
    </row>
    <row r="40" customFormat="false" ht="30" hidden="false" customHeight="true" outlineLevel="0" collapsed="false">
      <c r="B40" s="9" t="str">
        <f aca="false">IFERROR(INDEX('05 Berechnung'!$B$94:$B$116,MATCH(6,'05 Berechnung'!$F$94:$F$116,0)),"")</f>
        <v/>
      </c>
      <c r="C40" s="12" t="str">
        <f aca="false">IFERROR(INDEX('05 Berechnung'!$C$94:$C$116,MATCH(6,'05 Berechnung'!$F$94:$F$116,0)),"")</f>
        <v/>
      </c>
      <c r="D40" s="9" t="str">
        <f aca="false">IFERROR(INDEX('05 Berechnung'!$G$94:$G$116,MATCH(6,'05 Berechnung'!$F$94:$F$116,0)),"")</f>
        <v/>
      </c>
      <c r="E40" s="9"/>
      <c r="F40" s="9"/>
    </row>
    <row r="41" customFormat="false" ht="30" hidden="false" customHeight="true" outlineLevel="0" collapsed="false">
      <c r="B41" s="9" t="str">
        <f aca="false">IFERROR(INDEX('05 Berechnung'!$B$94:$B$116,MATCH(7,'05 Berechnung'!$F$94:$F$116,0)),"")</f>
        <v/>
      </c>
      <c r="C41" s="12" t="str">
        <f aca="false">IFERROR(INDEX('05 Berechnung'!$C$94:$C$116,MATCH(7,'05 Berechnung'!$F$94:$F$116,0)),"")</f>
        <v/>
      </c>
      <c r="D41" s="9" t="str">
        <f aca="false">IFERROR(INDEX('05 Berechnung'!$G$94:$G$116,MATCH(7,'05 Berechnung'!$F$94:$F$116,0)),"")</f>
        <v/>
      </c>
      <c r="E41" s="9"/>
      <c r="F41" s="9"/>
    </row>
    <row r="42" customFormat="false" ht="30" hidden="false" customHeight="true" outlineLevel="0" collapsed="false">
      <c r="B42" s="9" t="str">
        <f aca="false">IFERROR(INDEX('05 Berechnung'!$B$94:$B$116,MATCH(8,'05 Berechnung'!$F$94:$F$116,0)),"")</f>
        <v/>
      </c>
      <c r="C42" s="12" t="str">
        <f aca="false">IFERROR(INDEX('05 Berechnung'!$C$94:$C$116,MATCH(8,'05 Berechnung'!$F$94:$F$116,0)),"")</f>
        <v/>
      </c>
      <c r="D42" s="9" t="str">
        <f aca="false">IFERROR(INDEX('05 Berechnung'!$G$94:$G$116,MATCH(8,'05 Berechnung'!$F$94:$F$116,0)),"")</f>
        <v/>
      </c>
      <c r="E42" s="9"/>
      <c r="F42" s="9"/>
    </row>
    <row r="43" customFormat="false" ht="15" hidden="false" customHeight="true" outlineLevel="0" collapsed="false">
      <c r="B43" s="19" t="s">
        <v>36</v>
      </c>
      <c r="C43" s="19"/>
      <c r="D43" s="19"/>
      <c r="E43" s="19"/>
      <c r="F43" s="19"/>
    </row>
    <row r="45" customFormat="false" ht="18" hidden="false" customHeight="true" outlineLevel="0" collapsed="false">
      <c r="B45" s="4" t="s">
        <v>37</v>
      </c>
      <c r="C45" s="4"/>
      <c r="D45" s="4"/>
      <c r="E45" s="4"/>
      <c r="F45" s="4"/>
    </row>
    <row r="46" customFormat="false" ht="15" hidden="false" customHeight="false" outlineLevel="0" collapsed="false">
      <c r="B46" s="20" t="s">
        <v>38</v>
      </c>
    </row>
    <row r="47" customFormat="false" ht="15" hidden="false" customHeight="false" outlineLevel="0" collapsed="false">
      <c r="B47" s="21" t="s">
        <v>39</v>
      </c>
    </row>
    <row r="48" customFormat="false" ht="15" hidden="false" customHeight="false" outlineLevel="0" collapsed="false">
      <c r="B48" s="22" t="s">
        <v>40</v>
      </c>
    </row>
    <row r="49" customFormat="false" ht="27.75" hidden="false" customHeight="true" outlineLevel="0" collapsed="false">
      <c r="B49" s="23" t="s">
        <v>41</v>
      </c>
      <c r="C49" s="23"/>
      <c r="D49" s="23"/>
      <c r="E49" s="23"/>
      <c r="F49" s="23"/>
    </row>
    <row r="50" customFormat="false" ht="27.75" hidden="false" customHeight="true" outlineLevel="0" collapsed="false">
      <c r="B50" s="23" t="s">
        <v>42</v>
      </c>
      <c r="C50" s="23"/>
      <c r="D50" s="23"/>
      <c r="E50" s="23"/>
      <c r="F50" s="23"/>
    </row>
    <row r="51" customFormat="false" ht="27.75" hidden="false" customHeight="true" outlineLevel="0" collapsed="false">
      <c r="B51" s="23" t="s">
        <v>43</v>
      </c>
      <c r="C51" s="23"/>
      <c r="D51" s="23"/>
      <c r="E51" s="23"/>
      <c r="F51" s="23"/>
    </row>
  </sheetData>
  <sheetProtection sheet="true" formatCells="false" formatColumns="false" formatRows="false"/>
  <mergeCells count="21">
    <mergeCell ref="B3:F3"/>
    <mergeCell ref="E6:F6"/>
    <mergeCell ref="E7:F7"/>
    <mergeCell ref="E8:F8"/>
    <mergeCell ref="E9:F9"/>
    <mergeCell ref="E10:F10"/>
    <mergeCell ref="E11:F11"/>
    <mergeCell ref="E12:F12"/>
    <mergeCell ref="E13:F13"/>
    <mergeCell ref="D35:F35"/>
    <mergeCell ref="D36:F36"/>
    <mergeCell ref="D37:F37"/>
    <mergeCell ref="D38:F38"/>
    <mergeCell ref="D39:F39"/>
    <mergeCell ref="D40:F40"/>
    <mergeCell ref="D41:F41"/>
    <mergeCell ref="D42:F42"/>
    <mergeCell ref="B43:F43"/>
    <mergeCell ref="B49:F49"/>
    <mergeCell ref="B50:F50"/>
    <mergeCell ref="B51:F51"/>
  </mergeCells>
  <conditionalFormatting sqref="B3:F3">
    <cfRule type="expression" priority="2" aboveAverage="0" equalAverage="0" bottom="0" percent="0" rank="0" text="" dxfId="0">
      <formula>ISNUMBER(SEARCH("FEHLER",$B$3))</formula>
    </cfRule>
    <cfRule type="expression" priority="3" aboveAverage="0" equalAverage="0" bottom="0" percent="0" rank="0" text="" dxfId="1">
      <formula>ISNUMBER(SEARCH("Warnung(en)",$B$3))</formula>
    </cfRule>
  </conditionalFormatting>
  <conditionalFormatting sqref="C22:F22">
    <cfRule type="cellIs" priority="4" operator="equal" aboveAverage="0" equalAverage="0" bottom="0" percent="0" rank="0" text="" dxfId="2">
      <formula>"Ja"</formula>
    </cfRule>
    <cfRule type="cellIs" priority="5" operator="equal" aboveAverage="0" equalAverage="0" bottom="0" percent="0" rank="0" text="" dxfId="3">
      <formula>"Nein"</formula>
    </cfRule>
  </conditionalFormatting>
  <conditionalFormatting sqref="C35:C42">
    <cfRule type="cellIs" priority="6" operator="equal" aboveAverage="0" equalAverage="0" bottom="0" percent="0" rank="0" text="" dxfId="4">
      <formula>"WARNUNG"</formula>
    </cfRule>
    <cfRule type="cellIs" priority="7" operator="equal" aboveAverage="0" equalAverage="0" bottom="0" percent="0" rank="0" text="" dxfId="3">
      <formula>"FEHLER"</formula>
    </cfRule>
    <cfRule type="cellIs" priority="8" operator="equal" aboveAverage="0" equalAverage="0" bottom="0" percent="0" rank="0" text="" dxfId="5">
      <formula>"HINWEIS"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8" min="3" style="0" width="17"/>
    <col collapsed="false" customWidth="true" hidden="false" outlineLevel="0" max="9" min="9" style="0" width="62"/>
  </cols>
  <sheetData>
    <row r="1" customFormat="false" ht="24" hidden="false" customHeight="true" outlineLevel="0" collapsed="false">
      <c r="B1" s="1" t="s">
        <v>44</v>
      </c>
    </row>
    <row r="2" customFormat="false" ht="15" hidden="false" customHeight="false" outlineLevel="0" collapsed="false">
      <c r="B2" s="2" t="s">
        <v>45</v>
      </c>
    </row>
    <row r="4" customFormat="false" ht="15" hidden="false" customHeight="true" outlineLevel="0" collapsed="false">
      <c r="B4" s="6" t="s">
        <v>46</v>
      </c>
      <c r="C4" s="24" t="s">
        <v>47</v>
      </c>
      <c r="D4" s="25" t="s">
        <v>48</v>
      </c>
      <c r="E4" s="26" t="s">
        <v>49</v>
      </c>
      <c r="F4" s="19" t="s">
        <v>50</v>
      </c>
      <c r="G4" s="19"/>
      <c r="H4" s="19"/>
      <c r="I4" s="19"/>
    </row>
    <row r="6" customFormat="false" ht="18" hidden="false" customHeight="true" outlineLevel="0" collapsed="false">
      <c r="B6" s="4" t="s">
        <v>51</v>
      </c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14" t="s">
        <v>52</v>
      </c>
      <c r="C7" s="27" t="n">
        <v>2026</v>
      </c>
      <c r="I7" s="28" t="s">
        <v>53</v>
      </c>
    </row>
    <row r="8" customFormat="false" ht="15" hidden="false" customHeight="false" outlineLevel="0" collapsed="false">
      <c r="B8" s="14" t="s">
        <v>54</v>
      </c>
      <c r="C8" s="24" t="s">
        <v>55</v>
      </c>
      <c r="I8" s="28" t="s">
        <v>56</v>
      </c>
    </row>
    <row r="9" customFormat="false" ht="15" hidden="false" customHeight="false" outlineLevel="0" collapsed="false">
      <c r="B9" s="14" t="s">
        <v>57</v>
      </c>
      <c r="C9" s="27" t="n">
        <v>3</v>
      </c>
    </row>
    <row r="10" customFormat="false" ht="15" hidden="false" customHeight="false" outlineLevel="0" collapsed="false">
      <c r="B10" s="14" t="s">
        <v>58</v>
      </c>
      <c r="C10" s="27" t="n">
        <v>3</v>
      </c>
      <c r="I10" s="28" t="s">
        <v>59</v>
      </c>
    </row>
    <row r="11" customFormat="false" ht="15" hidden="false" customHeight="false" outlineLevel="0" collapsed="false">
      <c r="B11" s="14" t="s">
        <v>60</v>
      </c>
      <c r="C11" s="24" t="s">
        <v>61</v>
      </c>
    </row>
    <row r="13" customFormat="false" ht="18" hidden="false" customHeight="true" outlineLevel="0" collapsed="false">
      <c r="B13" s="4" t="s">
        <v>62</v>
      </c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C14" s="5" t="s">
        <v>63</v>
      </c>
      <c r="D14" s="5" t="s">
        <v>64</v>
      </c>
      <c r="E14" s="5" t="s">
        <v>65</v>
      </c>
      <c r="F14" s="5" t="s">
        <v>66</v>
      </c>
    </row>
    <row r="15" customFormat="false" ht="15" hidden="false" customHeight="false" outlineLevel="0" collapsed="false">
      <c r="B15" s="14" t="s">
        <v>67</v>
      </c>
      <c r="C15" s="29" t="n">
        <v>200000</v>
      </c>
      <c r="D15" s="29" t="n">
        <v>70000</v>
      </c>
      <c r="F15" s="30" t="n">
        <f aca="false">SUM(C15:E15)</f>
        <v>270000</v>
      </c>
      <c r="I15" s="28" t="s">
        <v>68</v>
      </c>
    </row>
    <row r="16" customFormat="false" ht="15" hidden="false" customHeight="false" outlineLevel="0" collapsed="false">
      <c r="B16" s="14" t="s">
        <v>69</v>
      </c>
      <c r="C16" s="29" t="n">
        <v>0</v>
      </c>
      <c r="D16" s="29" t="n">
        <v>0</v>
      </c>
      <c r="F16" s="30" t="n">
        <f aca="false">SUM(C16:E16)</f>
        <v>0</v>
      </c>
      <c r="I16" s="28"/>
    </row>
    <row r="17" customFormat="false" ht="15" hidden="false" customHeight="false" outlineLevel="0" collapsed="false">
      <c r="B17" s="14" t="s">
        <v>70</v>
      </c>
      <c r="C17" s="29" t="n">
        <v>13000</v>
      </c>
      <c r="D17" s="29" t="n">
        <v>4700</v>
      </c>
      <c r="F17" s="30" t="n">
        <f aca="false">SUM(C17:E17)</f>
        <v>17700</v>
      </c>
      <c r="I17" s="28"/>
    </row>
    <row r="18" customFormat="false" ht="15" hidden="false" customHeight="false" outlineLevel="0" collapsed="false">
      <c r="B18" s="14" t="s">
        <v>71</v>
      </c>
      <c r="C18" s="29" t="n">
        <v>14000</v>
      </c>
      <c r="D18" s="29" t="n">
        <v>3500</v>
      </c>
      <c r="F18" s="30" t="n">
        <f aca="false">SUM(C18:E18)</f>
        <v>17500</v>
      </c>
      <c r="I18" s="28" t="s">
        <v>72</v>
      </c>
    </row>
    <row r="19" customFormat="false" ht="15" hidden="false" customHeight="false" outlineLevel="0" collapsed="false">
      <c r="B19" s="14" t="s">
        <v>73</v>
      </c>
      <c r="C19" s="31" t="n">
        <f aca="false">C15+C16-C17-C18</f>
        <v>173000</v>
      </c>
      <c r="D19" s="31" t="n">
        <f aca="false">D15+D16-D17-D18</f>
        <v>61800</v>
      </c>
      <c r="F19" s="30" t="n">
        <f aca="false">C19+D19</f>
        <v>234800</v>
      </c>
    </row>
    <row r="20" customFormat="false" ht="15" hidden="false" customHeight="false" outlineLevel="0" collapsed="false">
      <c r="B20" s="14" t="s">
        <v>74</v>
      </c>
      <c r="C20" s="32"/>
      <c r="D20" s="32"/>
      <c r="F20" s="30" t="n">
        <f aca="false">SUM(C20:D20)</f>
        <v>0</v>
      </c>
      <c r="I20" s="28" t="s">
        <v>75</v>
      </c>
    </row>
    <row r="21" customFormat="false" ht="15" hidden="false" customHeight="false" outlineLevel="0" collapsed="false">
      <c r="B21" s="6" t="s">
        <v>76</v>
      </c>
      <c r="C21" s="33" t="n">
        <f aca="false">IF(C20&lt;&gt;"",C20,C19)</f>
        <v>173000</v>
      </c>
      <c r="D21" s="33" t="n">
        <f aca="false">IF(D20&lt;&gt;"",D20,D19)</f>
        <v>61800</v>
      </c>
      <c r="F21" s="34" t="n">
        <f aca="false">C21+D21</f>
        <v>234800</v>
      </c>
    </row>
    <row r="22" customFormat="false" ht="15" hidden="false" customHeight="false" outlineLevel="0" collapsed="false">
      <c r="B22" s="14" t="s">
        <v>77</v>
      </c>
      <c r="C22" s="29" t="n">
        <v>0</v>
      </c>
      <c r="D22" s="29" t="n">
        <v>0</v>
      </c>
      <c r="F22" s="30" t="n">
        <f aca="false">SUM(C22:E22)</f>
        <v>0</v>
      </c>
    </row>
    <row r="23" customFormat="false" ht="22.35" hidden="false" customHeight="false" outlineLevel="0" collapsed="false">
      <c r="B23" s="14" t="s">
        <v>78</v>
      </c>
      <c r="C23" s="29" t="n">
        <v>0</v>
      </c>
      <c r="D23" s="29" t="n">
        <v>0</v>
      </c>
      <c r="E23" s="29" t="n">
        <v>0</v>
      </c>
      <c r="F23" s="30" t="n">
        <f aca="false">SUM(C23:E23)</f>
        <v>0</v>
      </c>
      <c r="I23" s="28" t="s">
        <v>79</v>
      </c>
    </row>
    <row r="24" customFormat="false" ht="15" hidden="false" customHeight="false" outlineLevel="0" collapsed="false">
      <c r="B24" s="6" t="s">
        <v>80</v>
      </c>
      <c r="C24" s="33" t="n">
        <f aca="false">C21+C22+C23</f>
        <v>173000</v>
      </c>
      <c r="D24" s="33" t="n">
        <f aca="false">D21+D22+D23</f>
        <v>61800</v>
      </c>
      <c r="E24" s="33" t="n">
        <f aca="false">E23</f>
        <v>0</v>
      </c>
      <c r="F24" s="35" t="n">
        <f aca="false">SUM(C24:E24)</f>
        <v>234800</v>
      </c>
    </row>
    <row r="26" customFormat="false" ht="18" hidden="false" customHeight="true" outlineLevel="0" collapsed="false">
      <c r="B26" s="4" t="s">
        <v>81</v>
      </c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C27" s="5" t="s">
        <v>63</v>
      </c>
      <c r="D27" s="5" t="s">
        <v>64</v>
      </c>
    </row>
    <row r="28" customFormat="false" ht="15" hidden="false" customHeight="false" outlineLevel="0" collapsed="false">
      <c r="B28" s="14" t="s">
        <v>82</v>
      </c>
      <c r="C28" s="29" t="n">
        <v>1800</v>
      </c>
      <c r="D28" s="29" t="n">
        <v>800</v>
      </c>
      <c r="I28" s="28" t="s">
        <v>83</v>
      </c>
    </row>
    <row r="29" customFormat="false" ht="15" hidden="false" customHeight="false" outlineLevel="0" collapsed="false">
      <c r="B29" s="14" t="s">
        <v>84</v>
      </c>
      <c r="C29" s="27" t="n">
        <v>100</v>
      </c>
      <c r="D29" s="27" t="n">
        <v>0</v>
      </c>
    </row>
    <row r="30" customFormat="false" ht="15" hidden="false" customHeight="false" outlineLevel="0" collapsed="false">
      <c r="B30" s="14" t="s">
        <v>85</v>
      </c>
      <c r="C30" s="32"/>
      <c r="D30" s="32"/>
      <c r="I30" s="28" t="s">
        <v>86</v>
      </c>
    </row>
    <row r="32" customFormat="false" ht="18" hidden="false" customHeight="true" outlineLevel="0" collapsed="false">
      <c r="B32" s="4" t="s">
        <v>87</v>
      </c>
      <c r="C32" s="4"/>
      <c r="D32" s="4"/>
      <c r="E32" s="4"/>
      <c r="F32" s="4"/>
      <c r="G32" s="4"/>
      <c r="H32" s="4"/>
      <c r="I32" s="4"/>
    </row>
    <row r="33" customFormat="false" ht="23.85" hidden="false" customHeight="false" outlineLevel="0" collapsed="false">
      <c r="B33" s="14" t="s">
        <v>88</v>
      </c>
      <c r="C33" s="29" t="n">
        <v>14000</v>
      </c>
      <c r="I33" s="28" t="s">
        <v>89</v>
      </c>
    </row>
    <row r="34" customFormat="false" ht="31.5" hidden="false" customHeight="true" outlineLevel="0" collapsed="false">
      <c r="B34" s="5" t="s">
        <v>90</v>
      </c>
      <c r="C34" s="5" t="s">
        <v>91</v>
      </c>
      <c r="D34" s="5" t="s">
        <v>92</v>
      </c>
      <c r="E34" s="5" t="s">
        <v>93</v>
      </c>
      <c r="F34" s="5" t="s">
        <v>94</v>
      </c>
      <c r="G34" s="5" t="s">
        <v>95</v>
      </c>
      <c r="H34" s="5" t="s">
        <v>96</v>
      </c>
      <c r="I34" s="5" t="s">
        <v>97</v>
      </c>
    </row>
    <row r="35" customFormat="false" ht="15" hidden="false" customHeight="false" outlineLevel="0" collapsed="false">
      <c r="B35" s="14" t="s">
        <v>98</v>
      </c>
      <c r="C35" s="31" t="n">
        <f aca="false">'05 Berechnung'!$C$29</f>
        <v>7300</v>
      </c>
      <c r="D35" s="32"/>
      <c r="E35" s="31" t="n">
        <f aca="false">'05 Berechnung'!$E$29</f>
        <v>7300</v>
      </c>
      <c r="F35" s="32"/>
      <c r="G35" s="34" t="n">
        <f aca="false">IF(D35&lt;&gt;"",D35,C35)</f>
        <v>7300</v>
      </c>
      <c r="H35" s="34" t="n">
        <f aca="false">IF(F35&lt;&gt;"",F35,E35)</f>
        <v>7300</v>
      </c>
      <c r="I35" s="28" t="s">
        <v>99</v>
      </c>
    </row>
    <row r="36" customFormat="false" ht="15" hidden="false" customHeight="false" outlineLevel="0" collapsed="false">
      <c r="B36" s="14" t="s">
        <v>100</v>
      </c>
      <c r="C36" s="31" t="n">
        <f aca="false">'05 Berechnung'!$D$29</f>
        <v>2800</v>
      </c>
      <c r="D36" s="32"/>
      <c r="E36" s="31" t="n">
        <f aca="false">'05 Berechnung'!$F$29</f>
        <v>2800</v>
      </c>
      <c r="F36" s="32"/>
      <c r="G36" s="34" t="n">
        <f aca="false">IF(D36&lt;&gt;"",D36,C36)</f>
        <v>2800</v>
      </c>
      <c r="H36" s="34" t="n">
        <f aca="false">IF(F36&lt;&gt;"",F36,E36)</f>
        <v>2800</v>
      </c>
      <c r="I36" s="28"/>
    </row>
    <row r="37" customFormat="false" ht="15" hidden="false" customHeight="false" outlineLevel="0" collapsed="false">
      <c r="B37" s="14" t="s">
        <v>101</v>
      </c>
      <c r="C37" s="31" t="n">
        <f aca="false">'05 Berechnung'!$C$34</f>
        <v>9700</v>
      </c>
      <c r="D37" s="32"/>
      <c r="E37" s="31" t="n">
        <f aca="false">'05 Berechnung'!$D$34</f>
        <v>5800</v>
      </c>
      <c r="F37" s="32"/>
      <c r="G37" s="34" t="n">
        <f aca="false">IF(D37&lt;&gt;"",D37,C37)</f>
        <v>9700</v>
      </c>
      <c r="H37" s="34" t="n">
        <f aca="false">IF(F37&lt;&gt;"",F37,E37)</f>
        <v>5800</v>
      </c>
      <c r="I37" s="28" t="s">
        <v>102</v>
      </c>
    </row>
    <row r="38" customFormat="false" ht="15" hidden="false" customHeight="false" outlineLevel="0" collapsed="false">
      <c r="B38" s="14" t="s">
        <v>103</v>
      </c>
      <c r="C38" s="31" t="n">
        <f aca="false">'05 Berechnung'!$C$35</f>
        <v>28200</v>
      </c>
      <c r="D38" s="32"/>
      <c r="E38" s="31" t="n">
        <f aca="false">'05 Berechnung'!$D$35</f>
        <v>20400</v>
      </c>
      <c r="F38" s="32"/>
      <c r="G38" s="34" t="n">
        <f aca="false">IF(D38&lt;&gt;"",D38,C38)</f>
        <v>28200</v>
      </c>
      <c r="H38" s="34" t="n">
        <f aca="false">IF(F38&lt;&gt;"",F38,E38)</f>
        <v>20400</v>
      </c>
      <c r="I38" s="28" t="s">
        <v>104</v>
      </c>
    </row>
    <row r="39" customFormat="false" ht="15" hidden="false" customHeight="false" outlineLevel="0" collapsed="false">
      <c r="B39" s="14" t="s">
        <v>105</v>
      </c>
      <c r="C39" s="31" t="n">
        <f aca="false">'05 Berechnung'!$C$37</f>
        <v>5900</v>
      </c>
      <c r="D39" s="32"/>
      <c r="E39" s="31" t="n">
        <f aca="false">'05 Berechnung'!$D$37</f>
        <v>14100</v>
      </c>
      <c r="F39" s="32"/>
      <c r="G39" s="34" t="n">
        <f aca="false">IF(D39&lt;&gt;"",D39,C39)</f>
        <v>5900</v>
      </c>
      <c r="H39" s="34" t="n">
        <f aca="false">IF(F39&lt;&gt;"",F39,E39)</f>
        <v>14100</v>
      </c>
      <c r="I39" s="28" t="s">
        <v>106</v>
      </c>
    </row>
    <row r="40" customFormat="false" ht="15" hidden="false" customHeight="false" outlineLevel="0" collapsed="false">
      <c r="B40" s="14" t="s">
        <v>107</v>
      </c>
      <c r="C40" s="31" t="n">
        <f aca="false">'05 Berechnung'!$C$38</f>
        <v>0</v>
      </c>
      <c r="D40" s="32"/>
      <c r="E40" s="31" t="n">
        <f aca="false">'05 Berechnung'!$D$38</f>
        <v>2800</v>
      </c>
      <c r="F40" s="32"/>
      <c r="G40" s="34" t="n">
        <f aca="false">IF(D40&lt;&gt;"",D40,C40)</f>
        <v>0</v>
      </c>
      <c r="H40" s="34" t="n">
        <f aca="false">IF(F40&lt;&gt;"",F40,E40)</f>
        <v>2800</v>
      </c>
      <c r="I40" s="28" t="s">
        <v>108</v>
      </c>
    </row>
    <row r="41" customFormat="false" ht="15" hidden="false" customHeight="false" outlineLevel="0" collapsed="false">
      <c r="B41" s="14" t="s">
        <v>109</v>
      </c>
      <c r="C41" s="26" t="s">
        <v>110</v>
      </c>
      <c r="D41" s="29" t="n">
        <v>0</v>
      </c>
      <c r="E41" s="26" t="s">
        <v>110</v>
      </c>
      <c r="F41" s="32"/>
      <c r="G41" s="34" t="n">
        <f aca="false">N(D41)</f>
        <v>0</v>
      </c>
      <c r="H41" s="34" t="n">
        <f aca="false">IF(F41&lt;&gt;"",F41,N(D41))</f>
        <v>0</v>
      </c>
      <c r="I41" s="28" t="s">
        <v>111</v>
      </c>
    </row>
    <row r="42" customFormat="false" ht="15" hidden="false" customHeight="false" outlineLevel="0" collapsed="false">
      <c r="B42" s="20" t="s">
        <v>112</v>
      </c>
      <c r="C42" s="26" t="s">
        <v>110</v>
      </c>
      <c r="D42" s="29" t="n">
        <v>500</v>
      </c>
      <c r="E42" s="26" t="s">
        <v>110</v>
      </c>
      <c r="F42" s="32"/>
      <c r="G42" s="34" t="n">
        <f aca="false">N(D42)</f>
        <v>500</v>
      </c>
      <c r="H42" s="34" t="n">
        <f aca="false">IF(F42&lt;&gt;"",F42,N(D42))</f>
        <v>500</v>
      </c>
      <c r="I42" s="28" t="s">
        <v>113</v>
      </c>
    </row>
    <row r="43" customFormat="false" ht="15" hidden="false" customHeight="false" outlineLevel="0" collapsed="false">
      <c r="B43" s="20" t="s">
        <v>114</v>
      </c>
      <c r="C43" s="26" t="s">
        <v>110</v>
      </c>
      <c r="D43" s="29" t="n">
        <v>0</v>
      </c>
      <c r="E43" s="26" t="s">
        <v>110</v>
      </c>
      <c r="F43" s="32"/>
      <c r="G43" s="34" t="n">
        <f aca="false">N(D43)</f>
        <v>0</v>
      </c>
      <c r="H43" s="34" t="n">
        <f aca="false">IF(F43&lt;&gt;"",F43,N(D43))</f>
        <v>0</v>
      </c>
      <c r="I43" s="28" t="s">
        <v>115</v>
      </c>
    </row>
    <row r="44" customFormat="false" ht="15" hidden="false" customHeight="false" outlineLevel="0" collapsed="false">
      <c r="B44" s="20" t="s">
        <v>116</v>
      </c>
      <c r="C44" s="26" t="s">
        <v>110</v>
      </c>
      <c r="D44" s="29" t="n">
        <v>0</v>
      </c>
      <c r="E44" s="26" t="s">
        <v>110</v>
      </c>
      <c r="F44" s="32"/>
      <c r="G44" s="34" t="n">
        <f aca="false">N(D44)</f>
        <v>0</v>
      </c>
      <c r="H44" s="34" t="n">
        <f aca="false">IF(F44&lt;&gt;"",F44,N(D44))</f>
        <v>0</v>
      </c>
      <c r="I44" s="28"/>
    </row>
    <row r="45" customFormat="false" ht="15" hidden="false" customHeight="false" outlineLevel="0" collapsed="false">
      <c r="B45" s="6" t="s">
        <v>117</v>
      </c>
      <c r="G45" s="35" t="n">
        <f aca="false">SUM(G35:G44)</f>
        <v>54400</v>
      </c>
      <c r="H45" s="35" t="n">
        <f aca="false">SUM(H35:H44)</f>
        <v>53700</v>
      </c>
      <c r="I45" s="28" t="s">
        <v>118</v>
      </c>
    </row>
    <row r="47" customFormat="false" ht="18" hidden="false" customHeight="true" outlineLevel="0" collapsed="false">
      <c r="B47" s="4" t="s">
        <v>119</v>
      </c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C48" s="5" t="s">
        <v>63</v>
      </c>
      <c r="D48" s="5" t="s">
        <v>64</v>
      </c>
    </row>
    <row r="49" customFormat="false" ht="15" hidden="false" customHeight="false" outlineLevel="0" collapsed="false">
      <c r="B49" s="14" t="s">
        <v>120</v>
      </c>
      <c r="C49" s="24" t="s">
        <v>121</v>
      </c>
      <c r="D49" s="24" t="s">
        <v>121</v>
      </c>
      <c r="I49" s="28" t="s">
        <v>122</v>
      </c>
    </row>
    <row r="50" customFormat="false" ht="15" hidden="false" customHeight="false" outlineLevel="0" collapsed="false">
      <c r="B50" s="14" t="s">
        <v>123</v>
      </c>
      <c r="C50" s="29" t="n">
        <v>3000</v>
      </c>
      <c r="D50" s="29" t="n">
        <v>0</v>
      </c>
    </row>
    <row r="51" customFormat="false" ht="15" hidden="false" customHeight="false" outlineLevel="0" collapsed="false">
      <c r="B51" s="14" t="s">
        <v>124</v>
      </c>
      <c r="C51" s="29" t="n">
        <v>0</v>
      </c>
      <c r="D51" s="29" t="n">
        <v>0</v>
      </c>
    </row>
    <row r="52" customFormat="false" ht="15" hidden="false" customHeight="false" outlineLevel="0" collapsed="false">
      <c r="B52" s="14" t="s">
        <v>125</v>
      </c>
      <c r="C52" s="29" t="n">
        <v>40000</v>
      </c>
      <c r="D52" s="29" t="n">
        <v>15000</v>
      </c>
      <c r="I52" s="28" t="s">
        <v>126</v>
      </c>
    </row>
    <row r="54" customFormat="false" ht="18" hidden="false" customHeight="true" outlineLevel="0" collapsed="false">
      <c r="B54" s="4" t="s">
        <v>127</v>
      </c>
      <c r="C54" s="4"/>
      <c r="D54" s="4"/>
      <c r="E54" s="4"/>
      <c r="F54" s="4"/>
      <c r="G54" s="4"/>
      <c r="H54" s="4"/>
      <c r="I54" s="4"/>
    </row>
    <row r="55" customFormat="false" ht="15" hidden="false" customHeight="false" outlineLevel="0" collapsed="false">
      <c r="B55" s="14" t="s">
        <v>128</v>
      </c>
      <c r="C55" s="24" t="s">
        <v>129</v>
      </c>
      <c r="I55" s="28" t="s">
        <v>130</v>
      </c>
    </row>
    <row r="56" customFormat="false" ht="15" hidden="false" customHeight="false" outlineLevel="0" collapsed="false">
      <c r="B56" s="14" t="s">
        <v>131</v>
      </c>
      <c r="C56" s="29" t="n">
        <v>160000</v>
      </c>
    </row>
    <row r="57" customFormat="false" ht="15" hidden="false" customHeight="false" outlineLevel="0" collapsed="false">
      <c r="B57" s="14" t="s">
        <v>132</v>
      </c>
      <c r="C57" s="29" t="n">
        <v>0</v>
      </c>
      <c r="I57" s="28" t="s">
        <v>133</v>
      </c>
    </row>
    <row r="58" customFormat="false" ht="15" hidden="false" customHeight="false" outlineLevel="0" collapsed="false">
      <c r="B58" s="14" t="s">
        <v>134</v>
      </c>
      <c r="C58" s="27" t="n">
        <v>2025</v>
      </c>
      <c r="I58" s="28" t="s">
        <v>135</v>
      </c>
    </row>
    <row r="59" customFormat="false" ht="15" hidden="false" customHeight="false" outlineLevel="0" collapsed="false">
      <c r="B59" s="6" t="s">
        <v>136</v>
      </c>
      <c r="C59" s="35" t="n">
        <f aca="false">IF(C55="Vorjahr",'05 Berechnung'!$C$57,C56)-C57</f>
        <v>160000</v>
      </c>
    </row>
    <row r="60" customFormat="false" ht="22.35" hidden="false" customHeight="false" outlineLevel="0" collapsed="false">
      <c r="B60" s="14" t="s">
        <v>137</v>
      </c>
      <c r="C60" s="36" t="n">
        <v>0.28</v>
      </c>
      <c r="I60" s="28" t="s">
        <v>138</v>
      </c>
    </row>
    <row r="61" customFormat="false" ht="15" hidden="false" customHeight="false" outlineLevel="0" collapsed="false">
      <c r="B61" s="14" t="s">
        <v>139</v>
      </c>
      <c r="C61" s="24" t="s">
        <v>140</v>
      </c>
    </row>
    <row r="62" customFormat="false" ht="15" hidden="false" customHeight="false" outlineLevel="0" collapsed="false">
      <c r="B62" s="14" t="s">
        <v>141</v>
      </c>
      <c r="C62" s="32" t="n">
        <v>0</v>
      </c>
      <c r="I62" s="28" t="s">
        <v>142</v>
      </c>
    </row>
    <row r="63" customFormat="false" ht="22.35" hidden="false" customHeight="false" outlineLevel="0" collapsed="false">
      <c r="B63" s="14" t="s">
        <v>143</v>
      </c>
      <c r="C63" s="24" t="s">
        <v>144</v>
      </c>
      <c r="I63" s="28" t="s">
        <v>145</v>
      </c>
    </row>
    <row r="64" customFormat="false" ht="15" hidden="false" customHeight="false" outlineLevel="0" collapsed="false">
      <c r="B64" s="14" t="s">
        <v>146</v>
      </c>
      <c r="C64" s="29" t="n">
        <v>30000</v>
      </c>
    </row>
  </sheetData>
  <sheetProtection sheet="true" formatCells="false" formatColumns="false" formatRows="false"/>
  <mergeCells count="1">
    <mergeCell ref="F4:I4"/>
  </mergeCells>
  <dataValidations count="10">
    <dataValidation allowBlank="true" error="Der Wert liegt ausserhalb des üblichen Bereichs. Trotzdem übernehmen?" errorStyle="warning" errorTitle="Prüfen" operator="greaterThanOrEqual" showDropDown="false" showErrorMessage="true" showInputMessage="false" sqref="C15:E23 C28:D30 C33 D35:D44 F35:F44 C50:D52 C56:C57" type="decimal">
      <formula1>0</formula1>
      <formula2>0</formula2>
    </dataValidation>
    <dataValidation allowBlank="false" errorStyle="stop" operator="between" showDropDown="false" showErrorMessage="false" showInputMessage="false" sqref="C8" type="list">
      <formula1>"Verheiratet,Anderer (Modell nicht geeignet)"</formula1>
      <formula2>0</formula2>
    </dataValidation>
    <dataValidation allowBlank="true" error="Der Wert liegt ausserhalb des üblichen Bereichs. Trotzdem übernehmen?" errorStyle="warning" errorTitle="Prüfen" operator="between" showDropDown="false" showErrorMessage="true" showInputMessage="false" sqref="C9:C10" type="whole">
      <formula1>0</formula1>
      <formula2>12</formula2>
    </dataValidation>
    <dataValidation allowBlank="false" errorStyle="stop" operator="between" showDropDown="false" showErrorMessage="false" showInputMessage="false" sqref="C49" type="list">
      <formula1>"mit PK,ohne PK,kein 3a"</formula1>
      <formula2>0</formula2>
    </dataValidation>
    <dataValidation allowBlank="false" errorStyle="stop" operator="between" showDropDown="false" showErrorMessage="false" showInputMessage="false" sqref="D49" type="list">
      <formula1>"mit PK,ohne PK,kein 3a"</formula1>
      <formula2>0</formula2>
    </dataValidation>
    <dataValidation allowBlank="false" errorStyle="stop" operator="between" showDropDown="false" showErrorMessage="false" showInputMessage="false" sqref="C55" type="list">
      <formula1>"Eigener Zielwert,Vorjahr"</formula1>
      <formula2>0</formula2>
    </dataValidation>
    <dataValidation allowBlank="false" errorStyle="stop" operator="between" showDropDown="false" showErrorMessage="false" showInputMessage="false" sqref="C61" type="list">
      <formula1>"Kanton/Gemeinde,Bund"</formula1>
      <formula2>0</formula2>
    </dataValidation>
    <dataValidation allowBlank="false" errorStyle="stop" operator="between" showDropDown="false" showErrorMessage="false" showInputMessage="false" sqref="C63" type="list">
      <formula1>"Ja,Nein"</formula1>
      <formula2>0</formula2>
    </dataValidation>
    <dataValidation allowBlank="true" error="Der Wert liegt ausserhalb des üblichen Bereichs. Trotzdem übernehmen?" errorStyle="warning" errorTitle="Prüfen" operator="between" showDropDown="false" showErrorMessage="true" showInputMessage="false" sqref="C7 C58" type="whole">
      <formula1>2000</formula1>
      <formula2>2100</formula2>
    </dataValidation>
    <dataValidation allowBlank="true" error="Der Wert liegt ausserhalb des üblichen Bereichs. Trotzdem übernehmen?" errorStyle="warning" errorTitle="Prüfen" operator="between" showDropDown="false" showErrorMessage="true" showInputMessage="false" sqref="C60" type="decimal">
      <formula1>0</formula1>
      <formula2>0.6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8"/>
    <col collapsed="false" customWidth="true" hidden="false" outlineLevel="0" max="8" min="8" style="0" width="50"/>
  </cols>
  <sheetData>
    <row r="1" customFormat="false" ht="24" hidden="false" customHeight="true" outlineLevel="0" collapsed="false">
      <c r="B1" s="1" t="s">
        <v>147</v>
      </c>
    </row>
    <row r="2" customFormat="false" ht="15" hidden="false" customHeight="false" outlineLevel="0" collapsed="false">
      <c r="B2" s="2" t="s">
        <v>148</v>
      </c>
    </row>
    <row r="3" customFormat="false" ht="43.5" hidden="false" customHeight="true" outlineLevel="0" collapsed="false">
      <c r="B3" s="37" t="s">
        <v>149</v>
      </c>
      <c r="C3" s="37"/>
      <c r="D3" s="37"/>
      <c r="E3" s="37"/>
      <c r="F3" s="37"/>
      <c r="G3" s="37"/>
      <c r="H3" s="37"/>
    </row>
    <row r="5" customFormat="false" ht="18" hidden="false" customHeight="true" outlineLevel="0" collapsed="false">
      <c r="B5" s="4" t="s">
        <v>150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14" t="s">
        <v>151</v>
      </c>
      <c r="C6" s="31" t="n">
        <f aca="false">'05 Berechnung'!$C$52</f>
        <v>180400</v>
      </c>
    </row>
    <row r="7" customFormat="false" ht="15" hidden="false" customHeight="false" outlineLevel="0" collapsed="false">
      <c r="B7" s="14" t="s">
        <v>152</v>
      </c>
      <c r="C7" s="31" t="n">
        <f aca="false">'05 Berechnung'!$C$73</f>
        <v>3000</v>
      </c>
    </row>
    <row r="8" customFormat="false" ht="23.85" hidden="false" customHeight="false" outlineLevel="0" collapsed="false">
      <c r="B8" s="6" t="s">
        <v>153</v>
      </c>
      <c r="C8" s="35" t="n">
        <f aca="false">'05 Berechnung'!$C$75</f>
        <v>177400</v>
      </c>
    </row>
    <row r="9" customFormat="false" ht="15" hidden="false" customHeight="false" outlineLevel="0" collapsed="false">
      <c r="B9" s="14" t="s">
        <v>20</v>
      </c>
      <c r="C9" s="31" t="n">
        <f aca="false">'05 Berechnung'!$C$62</f>
        <v>160000</v>
      </c>
    </row>
    <row r="10" customFormat="false" ht="15" hidden="false" customHeight="false" outlineLevel="0" collapsed="false">
      <c r="B10" s="6" t="s">
        <v>154</v>
      </c>
      <c r="C10" s="38" t="n">
        <f aca="false">C8-C9</f>
        <v>17400</v>
      </c>
    </row>
    <row r="11" customFormat="false" ht="15" hidden="false" customHeight="false" outlineLevel="0" collapsed="false">
      <c r="B11" s="14" t="s">
        <v>21</v>
      </c>
      <c r="C11" s="31" t="n">
        <f aca="false">'05 Berechnung'!$C$57</f>
        <v>165000</v>
      </c>
    </row>
    <row r="12" customFormat="false" ht="15" hidden="false" customHeight="false" outlineLevel="0" collapsed="false">
      <c r="B12" s="14" t="s">
        <v>155</v>
      </c>
      <c r="D12" s="9" t="str">
        <f aca="false">IF(C10&lt;=0,"Der Zielwert ist bereits ohne weitere Einzahlung erreicht.","Das Einkommen liegt CHF "&amp;FIXED(C10,0)&amp;" über dem Zielwert – zusätzliche Einzahlungen nötig.")</f>
        <v>Das Einkommen liegt CHF 17,400 über dem Zielwert – zusätzliche Einzahlungen nötig.</v>
      </c>
      <c r="E12" s="9"/>
      <c r="F12" s="9"/>
      <c r="G12" s="9"/>
      <c r="H12" s="9"/>
    </row>
    <row r="14" customFormat="false" ht="18" hidden="false" customHeight="true" outlineLevel="0" collapsed="false">
      <c r="B14" s="4" t="s">
        <v>156</v>
      </c>
      <c r="C14" s="4"/>
      <c r="D14" s="4"/>
      <c r="E14" s="4"/>
      <c r="F14" s="4"/>
      <c r="G14" s="4"/>
      <c r="H14" s="4"/>
    </row>
    <row r="15" customFormat="false" ht="31.5" hidden="false" customHeight="true" outlineLevel="0" collapsed="false">
      <c r="B15" s="5" t="s">
        <v>157</v>
      </c>
      <c r="C15" s="5" t="s">
        <v>158</v>
      </c>
      <c r="D15" s="5" t="s">
        <v>159</v>
      </c>
      <c r="E15" s="5" t="s">
        <v>160</v>
      </c>
      <c r="F15" s="5" t="s">
        <v>161</v>
      </c>
      <c r="H15" s="5" t="s">
        <v>97</v>
      </c>
    </row>
    <row r="16" customFormat="false" ht="15" hidden="false" customHeight="false" outlineLevel="0" collapsed="false">
      <c r="B16" s="6" t="s">
        <v>162</v>
      </c>
      <c r="C16" s="39" t="n">
        <v>1</v>
      </c>
      <c r="D16" s="31" t="n">
        <f aca="false">'05 Berechnung'!$C$15</f>
        <v>3000</v>
      </c>
      <c r="E16" s="31" t="n">
        <f aca="false">'05 Berechnung'!$C$14</f>
        <v>7258</v>
      </c>
      <c r="F16" s="31" t="n">
        <f aca="false">'05 Berechnung'!$C$16</f>
        <v>4258</v>
      </c>
      <c r="H16" s="28" t="s">
        <v>163</v>
      </c>
    </row>
    <row r="17" customFormat="false" ht="15" hidden="false" customHeight="false" outlineLevel="0" collapsed="false">
      <c r="B17" s="6" t="s">
        <v>164</v>
      </c>
      <c r="C17" s="39" t="n">
        <v>2</v>
      </c>
      <c r="D17" s="31" t="n">
        <f aca="false">'05 Berechnung'!$D$15</f>
        <v>0</v>
      </c>
      <c r="E17" s="31" t="n">
        <f aca="false">'05 Berechnung'!$D$14</f>
        <v>7258</v>
      </c>
      <c r="F17" s="31" t="n">
        <f aca="false">'05 Berechnung'!$D$16</f>
        <v>7258</v>
      </c>
    </row>
    <row r="18" customFormat="false" ht="15" hidden="false" customHeight="false" outlineLevel="0" collapsed="false">
      <c r="B18" s="6" t="s">
        <v>165</v>
      </c>
      <c r="C18" s="39" t="n">
        <v>3</v>
      </c>
      <c r="D18" s="31" t="n">
        <f aca="false">'05 Berechnung'!$C$19</f>
        <v>0</v>
      </c>
      <c r="E18" s="31" t="n">
        <f aca="false">IF('05 Berechnung'!$C$17=1,'05 Berechnung'!$C$18,"nicht erfasst")</f>
        <v>40000</v>
      </c>
      <c r="F18" s="40" t="n">
        <f aca="false">'05 Berechnung'!$C$20</f>
        <v>40000</v>
      </c>
      <c r="H18" s="28" t="s">
        <v>166</v>
      </c>
    </row>
    <row r="19" customFormat="false" ht="15" hidden="false" customHeight="false" outlineLevel="0" collapsed="false">
      <c r="B19" s="6" t="s">
        <v>167</v>
      </c>
      <c r="C19" s="39" t="n">
        <v>4</v>
      </c>
      <c r="D19" s="31" t="n">
        <f aca="false">'05 Berechnung'!$D$19</f>
        <v>0</v>
      </c>
      <c r="E19" s="31" t="n">
        <f aca="false">IF('05 Berechnung'!$D$17=1,'05 Berechnung'!$D$18,"nicht erfasst")</f>
        <v>15000</v>
      </c>
      <c r="F19" s="40" t="n">
        <f aca="false">'05 Berechnung'!$D$20</f>
        <v>15000</v>
      </c>
    </row>
    <row r="20" customFormat="false" ht="15" hidden="false" customHeight="false" outlineLevel="0" collapsed="false">
      <c r="B20" s="14" t="s">
        <v>168</v>
      </c>
      <c r="C20" s="12" t="str">
        <f aca="false">IF(AND(COUNTIF(C16:C19,1)=1,COUNTIF(C16:C19,2)=1,COUNTIF(C16:C19,3)=1,COUNTIF(C16:C19,4)=1),"OK","Fehler")</f>
        <v>OK</v>
      </c>
    </row>
    <row r="22" customFormat="false" ht="18" hidden="false" customHeight="true" outlineLevel="0" collapsed="false">
      <c r="B22" s="4" t="s">
        <v>169</v>
      </c>
      <c r="C22" s="4"/>
      <c r="D22" s="4"/>
      <c r="E22" s="4"/>
      <c r="F22" s="4"/>
      <c r="G22" s="4"/>
      <c r="H22" s="4"/>
    </row>
    <row r="23" customFormat="false" ht="31.5" hidden="false" customHeight="true" outlineLevel="0" collapsed="false">
      <c r="B23" s="5" t="s">
        <v>170</v>
      </c>
      <c r="C23" s="5" t="s">
        <v>157</v>
      </c>
      <c r="D23" s="5" t="s">
        <v>161</v>
      </c>
      <c r="E23" s="5" t="s">
        <v>171</v>
      </c>
      <c r="F23" s="5" t="s">
        <v>172</v>
      </c>
      <c r="G23" s="5" t="s">
        <v>173</v>
      </c>
    </row>
    <row r="24" customFormat="false" ht="15" hidden="false" customHeight="false" outlineLevel="0" collapsed="false">
      <c r="B24" s="18" t="n">
        <v>1</v>
      </c>
      <c r="C24" s="9" t="str">
        <f aca="false">IFERROR(INDEX($B$16:$B$19,MATCH(B24,$C$16:$C$19,0)),"–")</f>
        <v>Säule 3a Ehemann</v>
      </c>
      <c r="D24" s="40" t="n">
        <f aca="false">IFERROR(INDEX($F$16:$F$19,MATCH(B24,$C$16:$C$19,0)),0)</f>
        <v>4258</v>
      </c>
      <c r="E24" s="31" t="n">
        <f aca="false">MAX(0,$C$10)</f>
        <v>17400</v>
      </c>
      <c r="F24" s="33" t="n">
        <f aca="false">MIN(D24,E24)</f>
        <v>4258</v>
      </c>
      <c r="G24" s="31" t="n">
        <f aca="false">E24-F24</f>
        <v>13142</v>
      </c>
    </row>
    <row r="25" customFormat="false" ht="15" hidden="false" customHeight="false" outlineLevel="0" collapsed="false">
      <c r="B25" s="18" t="n">
        <v>2</v>
      </c>
      <c r="C25" s="9" t="str">
        <f aca="false">IFERROR(INDEX($B$16:$B$19,MATCH(B25,$C$16:$C$19,0)),"–")</f>
        <v>Säule 3a Ehefrau</v>
      </c>
      <c r="D25" s="40" t="n">
        <f aca="false">IFERROR(INDEX($F$16:$F$19,MATCH(B25,$C$16:$C$19,0)),0)</f>
        <v>7258</v>
      </c>
      <c r="E25" s="31" t="n">
        <f aca="false">G24</f>
        <v>13142</v>
      </c>
      <c r="F25" s="33" t="n">
        <f aca="false">MIN(D25,E25)</f>
        <v>7258</v>
      </c>
      <c r="G25" s="31" t="n">
        <f aca="false">E25-F25</f>
        <v>5884</v>
      </c>
    </row>
    <row r="26" customFormat="false" ht="15" hidden="false" customHeight="false" outlineLevel="0" collapsed="false">
      <c r="B26" s="18" t="n">
        <v>3</v>
      </c>
      <c r="C26" s="9" t="str">
        <f aca="false">IFERROR(INDEX($B$16:$B$19,MATCH(B26,$C$16:$C$19,0)),"–")</f>
        <v>PK-Einkauf Ehemann</v>
      </c>
      <c r="D26" s="40" t="n">
        <f aca="false">IFERROR(INDEX($F$16:$F$19,MATCH(B26,$C$16:$C$19,0)),0)</f>
        <v>40000</v>
      </c>
      <c r="E26" s="31" t="n">
        <f aca="false">G25</f>
        <v>5884</v>
      </c>
      <c r="F26" s="33" t="n">
        <f aca="false">MIN(D26,E26)</f>
        <v>5884</v>
      </c>
      <c r="G26" s="31" t="n">
        <f aca="false">E26-F26</f>
        <v>0</v>
      </c>
    </row>
    <row r="27" customFormat="false" ht="15" hidden="false" customHeight="false" outlineLevel="0" collapsed="false">
      <c r="B27" s="18" t="n">
        <v>4</v>
      </c>
      <c r="C27" s="9" t="str">
        <f aca="false">IFERROR(INDEX($B$16:$B$19,MATCH(B27,$C$16:$C$19,0)),"–")</f>
        <v>PK-Einkauf Ehefrau</v>
      </c>
      <c r="D27" s="40" t="n">
        <f aca="false">IFERROR(INDEX($F$16:$F$19,MATCH(B27,$C$16:$C$19,0)),0)</f>
        <v>15000</v>
      </c>
      <c r="E27" s="31" t="n">
        <f aca="false">G26</f>
        <v>0</v>
      </c>
      <c r="F27" s="33" t="n">
        <f aca="false">MIN(D27,E27)</f>
        <v>0</v>
      </c>
      <c r="G27" s="31" t="n">
        <f aca="false">E27-F27</f>
        <v>0</v>
      </c>
    </row>
    <row r="28" customFormat="false" ht="15" hidden="false" customHeight="false" outlineLevel="0" collapsed="false">
      <c r="B28" s="6" t="s">
        <v>174</v>
      </c>
      <c r="F28" s="35" t="n">
        <f aca="false">SUM(F24:F27)</f>
        <v>17400</v>
      </c>
    </row>
    <row r="29" customFormat="false" ht="15" hidden="false" customHeight="false" outlineLevel="0" collapsed="false">
      <c r="B29" s="14" t="s">
        <v>175</v>
      </c>
      <c r="G29" s="31" t="n">
        <f aca="false">G27</f>
        <v>0</v>
      </c>
    </row>
    <row r="31" customFormat="false" ht="18" hidden="false" customHeight="true" outlineLevel="0" collapsed="false">
      <c r="B31" s="4" t="s">
        <v>176</v>
      </c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B32" s="5" t="s">
        <v>157</v>
      </c>
      <c r="C32" s="5" t="s">
        <v>159</v>
      </c>
      <c r="D32" s="5" t="s">
        <v>177</v>
      </c>
      <c r="E32" s="5" t="s">
        <v>178</v>
      </c>
      <c r="F32" s="5" t="s">
        <v>179</v>
      </c>
      <c r="G32" s="5" t="s">
        <v>155</v>
      </c>
    </row>
    <row r="33" customFormat="false" ht="15" hidden="false" customHeight="false" outlineLevel="0" collapsed="false">
      <c r="B33" s="6" t="s">
        <v>162</v>
      </c>
      <c r="C33" s="31" t="n">
        <f aca="false">D16</f>
        <v>3000</v>
      </c>
      <c r="D33" s="33" t="n">
        <f aca="false">IFERROR(INDEX($F$24:$F$27,$C16),0)</f>
        <v>4258</v>
      </c>
      <c r="E33" s="33" t="n">
        <f aca="false">C33+D33</f>
        <v>7258</v>
      </c>
      <c r="F33" s="31" t="n">
        <f aca="false">E16</f>
        <v>7258</v>
      </c>
      <c r="G33" s="17" t="str">
        <f aca="false">IF(E33&gt;F33+0.5,"über Maximum","OK")</f>
        <v>OK</v>
      </c>
    </row>
    <row r="34" customFormat="false" ht="15" hidden="false" customHeight="false" outlineLevel="0" collapsed="false">
      <c r="B34" s="6" t="s">
        <v>164</v>
      </c>
      <c r="C34" s="31" t="n">
        <f aca="false">D17</f>
        <v>0</v>
      </c>
      <c r="D34" s="33" t="n">
        <f aca="false">IFERROR(INDEX($F$24:$F$27,$C17),0)</f>
        <v>7258</v>
      </c>
      <c r="E34" s="33" t="n">
        <f aca="false">C34+D34</f>
        <v>7258</v>
      </c>
      <c r="F34" s="31" t="n">
        <f aca="false">E17</f>
        <v>7258</v>
      </c>
      <c r="G34" s="17" t="str">
        <f aca="false">IF(E34&gt;F34+0.5,"über Maximum","OK")</f>
        <v>OK</v>
      </c>
    </row>
    <row r="35" customFormat="false" ht="15" hidden="false" customHeight="false" outlineLevel="0" collapsed="false">
      <c r="B35" s="6" t="s">
        <v>165</v>
      </c>
      <c r="C35" s="31" t="n">
        <f aca="false">D18</f>
        <v>0</v>
      </c>
      <c r="D35" s="33" t="n">
        <f aca="false">IFERROR(INDEX($F$24:$F$27,$C18),0)</f>
        <v>5884</v>
      </c>
      <c r="E35" s="33" t="n">
        <f aca="false">C35+D35</f>
        <v>5884</v>
      </c>
      <c r="F35" s="31" t="n">
        <f aca="false">E18</f>
        <v>40000</v>
      </c>
      <c r="G35" s="17" t="str">
        <f aca="false">IF('05 Berechnung'!$C$17=0,IF(E35&gt;0,"Potenzial nicht erfasst","–"),IF(E35&gt;'05 Berechnung'!$C$18+0.5,"über Potenzial","OK"))</f>
        <v>OK</v>
      </c>
    </row>
    <row r="36" customFormat="false" ht="15" hidden="false" customHeight="false" outlineLevel="0" collapsed="false">
      <c r="B36" s="6" t="s">
        <v>167</v>
      </c>
      <c r="C36" s="31" t="n">
        <f aca="false">D19</f>
        <v>0</v>
      </c>
      <c r="D36" s="33" t="n">
        <f aca="false">IFERROR(INDEX($F$24:$F$27,$C19),0)</f>
        <v>0</v>
      </c>
      <c r="E36" s="33" t="n">
        <f aca="false">C36+D36</f>
        <v>0</v>
      </c>
      <c r="F36" s="31" t="n">
        <f aca="false">E19</f>
        <v>15000</v>
      </c>
      <c r="G36" s="17" t="str">
        <f aca="false">IF('05 Berechnung'!$D$17=0,IF(E36&gt;0,"Potenzial nicht erfasst","–"),IF(E36&gt;'05 Berechnung'!$D$18+0.5,"über Potenzial","OK"))</f>
        <v>OK</v>
      </c>
    </row>
    <row r="37" customFormat="false" ht="23.85" hidden="false" customHeight="false" outlineLevel="0" collapsed="false">
      <c r="B37" s="6" t="s">
        <v>66</v>
      </c>
      <c r="C37" s="35" t="n">
        <f aca="false">SUM(C33:C36)</f>
        <v>3000</v>
      </c>
      <c r="D37" s="35" t="n">
        <f aca="false">SUM(D33:D36)</f>
        <v>17400</v>
      </c>
      <c r="E37" s="35" t="n">
        <f aca="false">SUM(E33:E36)</f>
        <v>20400</v>
      </c>
      <c r="F37" s="41" t="n">
        <f aca="false">'05 Berechnung'!$E$75</f>
        <v>160000</v>
      </c>
      <c r="G37" s="42" t="s">
        <v>180</v>
      </c>
    </row>
    <row r="39" customFormat="false" ht="18" hidden="false" customHeight="true" outlineLevel="0" collapsed="false">
      <c r="B39" s="4" t="s">
        <v>181</v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B40" s="5" t="s">
        <v>157</v>
      </c>
      <c r="C40" s="5" t="s">
        <v>182</v>
      </c>
      <c r="D40" s="5" t="s">
        <v>183</v>
      </c>
      <c r="E40" s="5" t="s">
        <v>184</v>
      </c>
    </row>
    <row r="41" customFormat="false" ht="15" hidden="false" customHeight="false" outlineLevel="0" collapsed="false">
      <c r="B41" s="6" t="s">
        <v>185</v>
      </c>
      <c r="C41" s="33" t="n">
        <f aca="false">MIN($F$16,IF('02 Eingaben'!$C$63="Ja",MAX(0,$C$10),1000000000))</f>
        <v>4258</v>
      </c>
      <c r="D41" s="31" t="n">
        <f aca="false">D16+C41</f>
        <v>7258</v>
      </c>
      <c r="E41" s="31" t="n">
        <f aca="false">E16</f>
        <v>7258</v>
      </c>
    </row>
    <row r="42" customFormat="false" ht="15" hidden="false" customHeight="false" outlineLevel="0" collapsed="false">
      <c r="B42" s="6" t="s">
        <v>186</v>
      </c>
      <c r="C42" s="33" t="n">
        <f aca="false">MIN($F$17,IF('02 Eingaben'!$C$63="Ja",MAX(0,$C$10),1000000000)-C41)</f>
        <v>7258</v>
      </c>
      <c r="D42" s="31" t="n">
        <f aca="false">D17+C42</f>
        <v>7258</v>
      </c>
      <c r="E42" s="31" t="n">
        <f aca="false">E17</f>
        <v>7258</v>
      </c>
    </row>
    <row r="43" customFormat="false" ht="15" hidden="false" customHeight="true" outlineLevel="0" collapsed="false">
      <c r="B43" s="19" t="s">
        <v>187</v>
      </c>
      <c r="C43" s="19"/>
      <c r="D43" s="19"/>
      <c r="E43" s="19"/>
      <c r="F43" s="19"/>
      <c r="G43" s="19"/>
      <c r="H43" s="19"/>
    </row>
    <row r="45" customFormat="false" ht="18" hidden="false" customHeight="true" outlineLevel="0" collapsed="false">
      <c r="B45" s="4" t="s">
        <v>188</v>
      </c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B46" s="5" t="s">
        <v>157</v>
      </c>
      <c r="C46" s="5" t="s">
        <v>189</v>
      </c>
      <c r="D46" s="5" t="s">
        <v>179</v>
      </c>
      <c r="E46" s="5" t="s">
        <v>155</v>
      </c>
    </row>
    <row r="47" customFormat="false" ht="15" hidden="false" customHeight="false" outlineLevel="0" collapsed="false">
      <c r="B47" s="6" t="s">
        <v>162</v>
      </c>
      <c r="C47" s="29" t="n">
        <v>7258</v>
      </c>
      <c r="D47" s="31" t="n">
        <f aca="false">E16</f>
        <v>7258</v>
      </c>
      <c r="E47" s="17" t="str">
        <f aca="false">IF(C47&gt;D47+0.5,"über Maximum","OK")</f>
        <v>OK</v>
      </c>
    </row>
    <row r="48" customFormat="false" ht="15" hidden="false" customHeight="false" outlineLevel="0" collapsed="false">
      <c r="B48" s="6" t="s">
        <v>164</v>
      </c>
      <c r="C48" s="29" t="n">
        <v>7258</v>
      </c>
      <c r="D48" s="31" t="n">
        <f aca="false">E17</f>
        <v>7258</v>
      </c>
      <c r="E48" s="17" t="str">
        <f aca="false">IF(C48&gt;D48+0.5,"über Maximum","OK")</f>
        <v>OK</v>
      </c>
    </row>
    <row r="49" customFormat="false" ht="15" hidden="false" customHeight="false" outlineLevel="0" collapsed="false">
      <c r="B49" s="6" t="s">
        <v>165</v>
      </c>
      <c r="C49" s="29" t="n">
        <v>5000</v>
      </c>
      <c r="D49" s="31" t="n">
        <f aca="false">E18</f>
        <v>40000</v>
      </c>
      <c r="E49" s="17" t="str">
        <f aca="false">IF('05 Berechnung'!$C$17=0,IF(C49&gt;0,"Potenzial nicht erfasst","–"),IF(C49&gt;'05 Berechnung'!$C$18+0.5,"über Potenzial","OK"))</f>
        <v>OK</v>
      </c>
    </row>
    <row r="50" customFormat="false" ht="15" hidden="false" customHeight="false" outlineLevel="0" collapsed="false">
      <c r="B50" s="6" t="s">
        <v>167</v>
      </c>
      <c r="C50" s="29" t="n">
        <v>0</v>
      </c>
      <c r="D50" s="31" t="n">
        <f aca="false">E19</f>
        <v>15000</v>
      </c>
      <c r="E50" s="17" t="str">
        <f aca="false">IF('05 Berechnung'!$D$17=0,IF(C50&gt;0,"Potenzial nicht erfasst","–"),IF(C50&gt;'05 Berechnung'!$D$18+0.5,"über Potenzial","OK"))</f>
        <v>OK</v>
      </c>
    </row>
    <row r="51" customFormat="false" ht="15" hidden="false" customHeight="false" outlineLevel="0" collapsed="false">
      <c r="B51" s="6" t="s">
        <v>190</v>
      </c>
      <c r="C51" s="35" t="n">
        <f aca="false">SUM(C47:C50)</f>
        <v>19516</v>
      </c>
    </row>
    <row r="53" customFormat="false" ht="18" hidden="false" customHeight="true" outlineLevel="0" collapsed="false">
      <c r="B53" s="4" t="s">
        <v>191</v>
      </c>
      <c r="C53" s="4"/>
      <c r="D53" s="4"/>
      <c r="E53" s="4"/>
      <c r="F53" s="4"/>
      <c r="G53" s="4"/>
      <c r="H53" s="4"/>
    </row>
    <row r="54" customFormat="false" ht="15" hidden="false" customHeight="false" outlineLevel="0" collapsed="false">
      <c r="B54" s="14" t="s">
        <v>192</v>
      </c>
      <c r="C54" s="31" t="n">
        <f aca="false">C8</f>
        <v>177400</v>
      </c>
    </row>
    <row r="55" customFormat="false" ht="15" hidden="false" customHeight="false" outlineLevel="0" collapsed="false">
      <c r="B55" s="14" t="s">
        <v>20</v>
      </c>
      <c r="C55" s="31" t="n">
        <f aca="false">C9</f>
        <v>160000</v>
      </c>
    </row>
    <row r="56" customFormat="false" ht="15" hidden="false" customHeight="true" outlineLevel="0" collapsed="false">
      <c r="B56" s="14" t="s">
        <v>193</v>
      </c>
      <c r="C56" s="31" t="n">
        <f aca="false">D33</f>
        <v>4258</v>
      </c>
      <c r="D56" s="43" t="s">
        <v>194</v>
      </c>
      <c r="E56" s="43"/>
      <c r="F56" s="43"/>
      <c r="G56" s="43"/>
      <c r="H56" s="43"/>
    </row>
    <row r="57" customFormat="false" ht="15" hidden="false" customHeight="false" outlineLevel="0" collapsed="false">
      <c r="B57" s="14" t="s">
        <v>195</v>
      </c>
      <c r="C57" s="31" t="n">
        <f aca="false">D34</f>
        <v>7258</v>
      </c>
      <c r="D57" s="43"/>
      <c r="E57" s="43"/>
      <c r="F57" s="43"/>
      <c r="G57" s="43"/>
      <c r="H57" s="43"/>
    </row>
    <row r="58" customFormat="false" ht="15" hidden="false" customHeight="false" outlineLevel="0" collapsed="false">
      <c r="B58" s="14" t="s">
        <v>196</v>
      </c>
      <c r="C58" s="31" t="n">
        <f aca="false">MAX(0,C10-D33-D34)</f>
        <v>5884</v>
      </c>
      <c r="D58" s="43"/>
      <c r="E58" s="43"/>
      <c r="F58" s="43"/>
      <c r="G58" s="43"/>
      <c r="H58" s="43"/>
    </row>
    <row r="59" customFormat="false" ht="15" hidden="false" customHeight="false" outlineLevel="0" collapsed="false">
      <c r="B59" s="6" t="s">
        <v>197</v>
      </c>
      <c r="C59" s="35" t="n">
        <f aca="false">D35+D36</f>
        <v>5884</v>
      </c>
    </row>
    <row r="60" customFormat="false" ht="15" hidden="false" customHeight="false" outlineLevel="0" collapsed="false">
      <c r="B60" s="6" t="s">
        <v>198</v>
      </c>
      <c r="C60" s="35" t="n">
        <f aca="false">'05 Berechnung'!$E$75</f>
        <v>160000</v>
      </c>
    </row>
    <row r="61" customFormat="false" ht="15" hidden="false" customHeight="false" outlineLevel="0" collapsed="false">
      <c r="B61" s="14" t="s">
        <v>23</v>
      </c>
      <c r="C61" s="44" t="n">
        <f aca="false">C60-C55</f>
        <v>0</v>
      </c>
    </row>
  </sheetData>
  <sheetProtection sheet="true" formatCells="false" formatColumns="false" formatRows="false"/>
  <mergeCells count="4">
    <mergeCell ref="B3:H3"/>
    <mergeCell ref="D12:H12"/>
    <mergeCell ref="B43:H43"/>
    <mergeCell ref="D56:H58"/>
  </mergeCells>
  <dataValidations count="2">
    <dataValidation allowBlank="true" error="Der Wert liegt ausserhalb des üblichen Bereichs. Trotzdem übernehmen?" errorStyle="warning" errorTitle="Prüfen" operator="between" showDropDown="false" showErrorMessage="true" showInputMessage="false" sqref="C16:C19" type="whole">
      <formula1>1</formula1>
      <formula2>4</formula2>
    </dataValidation>
    <dataValidation allowBlank="true" error="Der Wert liegt ausserhalb des üblichen Bereichs. Trotzdem übernehmen?" errorStyle="warning" errorTitle="Prüfen" operator="greaterThanOrEqual" showDropDown="false" showErrorMessage="true" showInputMessage="false" sqref="C47:C5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24" hidden="false" customHeight="true" outlineLevel="0" collapsed="false">
      <c r="B1" s="1" t="s">
        <v>199</v>
      </c>
    </row>
    <row r="2" customFormat="false" ht="15" hidden="false" customHeight="false" outlineLevel="0" collapsed="false">
      <c r="B2" s="2" t="s">
        <v>200</v>
      </c>
    </row>
    <row r="5" customFormat="false" ht="18" hidden="false" customHeight="true" outlineLevel="0" collapsed="false">
      <c r="B5" s="4" t="s">
        <v>201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9" t="s">
        <v>202</v>
      </c>
      <c r="C6" s="19"/>
      <c r="D6" s="19"/>
      <c r="E6" s="19"/>
      <c r="F6" s="19"/>
      <c r="G6" s="19"/>
    </row>
    <row r="7" customFormat="false" ht="30" hidden="false" customHeight="true" outlineLevel="0" collapsed="false">
      <c r="B7" s="5" t="s">
        <v>203</v>
      </c>
      <c r="C7" s="5" t="s">
        <v>204</v>
      </c>
      <c r="D7" s="5" t="s">
        <v>205</v>
      </c>
      <c r="E7" s="5" t="s">
        <v>206</v>
      </c>
      <c r="F7" s="5" t="s">
        <v>207</v>
      </c>
    </row>
    <row r="8" customFormat="false" ht="15" hidden="false" customHeight="false" outlineLevel="0" collapsed="false">
      <c r="B8" s="14" t="s">
        <v>208</v>
      </c>
      <c r="C8" s="29" t="n">
        <v>100000</v>
      </c>
      <c r="D8" s="29" t="n">
        <v>1900</v>
      </c>
      <c r="E8" s="31" t="n">
        <f aca="false">IF(D8="","",D8*12)</f>
        <v>22800</v>
      </c>
      <c r="F8" s="17" t="str">
        <f aca="false">IF(AND(C8="",D8=""),"leer",IF(OR(C8="",D8=""),"unvollständig","OK"))</f>
        <v>OK</v>
      </c>
    </row>
    <row r="9" customFormat="false" ht="15" hidden="false" customHeight="false" outlineLevel="0" collapsed="false">
      <c r="B9" s="14" t="s">
        <v>209</v>
      </c>
      <c r="C9" s="29" t="n">
        <v>120000</v>
      </c>
      <c r="D9" s="29" t="n">
        <v>2100</v>
      </c>
      <c r="E9" s="31" t="n">
        <f aca="false">IF(D9="","",D9*12)</f>
        <v>25200</v>
      </c>
      <c r="F9" s="17" t="str">
        <f aca="false">IF(AND(C9="",D9=""),"leer",IF(OR(C9="",D9=""),"unvollständig",IF(C8="","Lücke",IF(C9&lt;=C8,"nicht aufsteigend","OK"))))</f>
        <v>OK</v>
      </c>
    </row>
    <row r="10" customFormat="false" ht="15" hidden="false" customHeight="false" outlineLevel="0" collapsed="false">
      <c r="B10" s="14" t="s">
        <v>210</v>
      </c>
      <c r="C10" s="29" t="n">
        <v>140000</v>
      </c>
      <c r="D10" s="29" t="n">
        <v>2300</v>
      </c>
      <c r="E10" s="31" t="n">
        <f aca="false">IF(D10="","",D10*12)</f>
        <v>27600</v>
      </c>
      <c r="F10" s="17" t="str">
        <f aca="false">IF(AND(C10="",D10=""),"leer",IF(OR(C10="",D10=""),"unvollständig",IF(C9="","Lücke",IF(C10&lt;=C9,"nicht aufsteigend","OK"))))</f>
        <v>OK</v>
      </c>
    </row>
    <row r="11" customFormat="false" ht="15" hidden="false" customHeight="false" outlineLevel="0" collapsed="false">
      <c r="B11" s="14" t="s">
        <v>211</v>
      </c>
      <c r="C11" s="29" t="n">
        <v>160000</v>
      </c>
      <c r="D11" s="29" t="n">
        <v>2500</v>
      </c>
      <c r="E11" s="31" t="n">
        <f aca="false">IF(D11="","",D11*12)</f>
        <v>30000</v>
      </c>
      <c r="F11" s="17" t="str">
        <f aca="false">IF(AND(C11="",D11=""),"leer",IF(OR(C11="",D11=""),"unvollständig",IF(C10="","Lücke",IF(C11&lt;=C10,"nicht aufsteigend","OK"))))</f>
        <v>OK</v>
      </c>
    </row>
    <row r="12" customFormat="false" ht="15" hidden="false" customHeight="false" outlineLevel="0" collapsed="false">
      <c r="B12" s="14" t="s">
        <v>212</v>
      </c>
      <c r="C12" s="29" t="n">
        <v>180000</v>
      </c>
      <c r="D12" s="29" t="n">
        <v>2700</v>
      </c>
      <c r="E12" s="31" t="n">
        <f aca="false">IF(D12="","",D12*12)</f>
        <v>32400</v>
      </c>
      <c r="F12" s="17" t="str">
        <f aca="false">IF(AND(C12="",D12=""),"leer",IF(OR(C12="",D12=""),"unvollständig",IF(C11="","Lücke",IF(C12&lt;=C11,"nicht aufsteigend","OK"))))</f>
        <v>OK</v>
      </c>
    </row>
    <row r="13" customFormat="false" ht="15" hidden="false" customHeight="false" outlineLevel="0" collapsed="false">
      <c r="B13" s="14" t="s">
        <v>213</v>
      </c>
      <c r="C13" s="29" t="n">
        <v>200000</v>
      </c>
      <c r="D13" s="29" t="n">
        <v>2900</v>
      </c>
      <c r="E13" s="31" t="n">
        <f aca="false">IF(D13="","",D13*12)</f>
        <v>34800</v>
      </c>
      <c r="F13" s="17" t="str">
        <f aca="false">IF(AND(C13="",D13=""),"leer",IF(OR(C13="",D13=""),"unvollständig",IF(C12="","Lücke",IF(C13&lt;=C12,"nicht aufsteigend","OK"))))</f>
        <v>OK</v>
      </c>
    </row>
    <row r="14" customFormat="false" ht="15" hidden="false" customHeight="false" outlineLevel="0" collapsed="false">
      <c r="B14" s="14" t="s">
        <v>214</v>
      </c>
      <c r="C14" s="29"/>
      <c r="D14" s="29"/>
      <c r="E14" s="31" t="str">
        <f aca="false">IF(D14="","",D14*12)</f>
        <v/>
      </c>
      <c r="F14" s="17" t="str">
        <f aca="false">IF(AND(C14="",D14=""),"leer",IF(OR(C14="",D14=""),"unvollständig",IF(C13="","Lücke",IF(C14&lt;=C13,"nicht aufsteigend","OK"))))</f>
        <v>leer</v>
      </c>
    </row>
    <row r="15" customFormat="false" ht="15" hidden="false" customHeight="false" outlineLevel="0" collapsed="false">
      <c r="B15" s="14" t="s">
        <v>215</v>
      </c>
      <c r="C15" s="29"/>
      <c r="D15" s="29"/>
      <c r="E15" s="31" t="str">
        <f aca="false">IF(D15="","",D15*12)</f>
        <v/>
      </c>
      <c r="F15" s="17" t="str">
        <f aca="false">IF(AND(C15="",D15=""),"leer",IF(OR(C15="",D15=""),"unvollständig",IF(C14="","Lücke",IF(C15&lt;=C14,"nicht aufsteigend","OK"))))</f>
        <v>leer</v>
      </c>
    </row>
    <row r="16" customFormat="false" ht="15" hidden="false" customHeight="false" outlineLevel="0" collapsed="false">
      <c r="B16" s="14" t="s">
        <v>216</v>
      </c>
      <c r="C16" s="29"/>
      <c r="D16" s="29"/>
      <c r="E16" s="31" t="str">
        <f aca="false">IF(D16="","",D16*12)</f>
        <v/>
      </c>
      <c r="F16" s="17" t="str">
        <f aca="false">IF(AND(C16="",D16=""),"leer",IF(OR(C16="",D16=""),"unvollständig",IF(C15="","Lücke",IF(C16&lt;=C15,"nicht aufsteigend","OK"))))</f>
        <v>leer</v>
      </c>
    </row>
    <row r="17" customFormat="false" ht="15" hidden="false" customHeight="false" outlineLevel="0" collapsed="false">
      <c r="B17" s="14" t="s">
        <v>217</v>
      </c>
      <c r="C17" s="29"/>
      <c r="D17" s="29"/>
      <c r="E17" s="31" t="str">
        <f aca="false">IF(D17="","",D17*12)</f>
        <v/>
      </c>
      <c r="F17" s="17" t="str">
        <f aca="false">IF(AND(C17="",D17=""),"leer",IF(OR(C17="",D17=""),"unvollständig",IF(C16="","Lücke",IF(C17&lt;=C16,"nicht aufsteigend","OK"))))</f>
        <v>leer</v>
      </c>
    </row>
    <row r="18" customFormat="false" ht="15" hidden="false" customHeight="false" outlineLevel="0" collapsed="false">
      <c r="B18" s="6" t="s">
        <v>218</v>
      </c>
      <c r="C18" s="45" t="s">
        <v>219</v>
      </c>
      <c r="D18" s="29" t="n">
        <v>3100</v>
      </c>
      <c r="E18" s="31" t="n">
        <f aca="false">IF(D18="","",D18*12)</f>
        <v>37200</v>
      </c>
      <c r="F18" s="17" t="str">
        <f aca="false">IF(D18="","fehlt","OK")</f>
        <v>OK</v>
      </c>
    </row>
    <row r="19" customFormat="false" ht="15" hidden="false" customHeight="true" outlineLevel="0" collapsed="false">
      <c r="B19" s="14" t="s">
        <v>220</v>
      </c>
      <c r="C19" s="17" t="str">
        <f aca="false">'02 Eingaben'!$C$61</f>
        <v>Kanton/Gemeinde</v>
      </c>
      <c r="D19" s="19" t="s">
        <v>221</v>
      </c>
      <c r="E19" s="19"/>
      <c r="F19" s="19"/>
      <c r="G19" s="19"/>
    </row>
    <row r="21" customFormat="false" ht="18" hidden="false" customHeight="true" outlineLevel="0" collapsed="false">
      <c r="B21" s="4" t="s">
        <v>222</v>
      </c>
      <c r="C21" s="4"/>
      <c r="D21" s="4"/>
      <c r="E21" s="4"/>
      <c r="F21" s="4"/>
      <c r="G21" s="4"/>
    </row>
    <row r="22" customFormat="false" ht="15" hidden="false" customHeight="false" outlineLevel="0" collapsed="false">
      <c r="B22" s="14" t="s">
        <v>223</v>
      </c>
      <c r="C22" s="31" t="n">
        <f aca="false">'05 Berechnung'!$C$80</f>
        <v>177400</v>
      </c>
    </row>
    <row r="23" customFormat="false" ht="15" hidden="false" customHeight="false" outlineLevel="0" collapsed="false">
      <c r="B23" s="14" t="s">
        <v>224</v>
      </c>
      <c r="C23" s="46" t="n">
        <f aca="false">'05 Berechnung'!$C$81</f>
        <v>5</v>
      </c>
    </row>
    <row r="24" customFormat="false" ht="15" hidden="false" customHeight="false" outlineLevel="0" collapsed="false">
      <c r="B24" s="14" t="s">
        <v>225</v>
      </c>
      <c r="C24" s="31" t="n">
        <f aca="false">'05 Berechnung'!$C$82</f>
        <v>2700</v>
      </c>
    </row>
    <row r="25" customFormat="false" ht="15" hidden="false" customHeight="false" outlineLevel="0" collapsed="false">
      <c r="B25" s="14" t="s">
        <v>226</v>
      </c>
      <c r="C25" s="31" t="n">
        <f aca="false">IF(C23&gt;1,INDEX('04 Mietmodell'!$C$8:$C$17,C23-1),"keine tiefere Stufe")</f>
        <v>160000</v>
      </c>
    </row>
    <row r="26" customFormat="false" ht="15" hidden="false" customHeight="true" outlineLevel="0" collapsed="false">
      <c r="B26" s="14" t="s">
        <v>227</v>
      </c>
      <c r="C26" s="31" t="n">
        <f aca="false">IF(ISNUMBER(C25),MAX(0,C22-C25),"–")</f>
        <v>17400</v>
      </c>
      <c r="D26" s="43" t="s">
        <v>228</v>
      </c>
      <c r="E26" s="43"/>
      <c r="F26" s="43"/>
      <c r="G26" s="43"/>
    </row>
    <row r="27" customFormat="false" ht="15" hidden="false" customHeight="false" outlineLevel="0" collapsed="false">
      <c r="B27" s="14" t="s">
        <v>229</v>
      </c>
      <c r="C27" s="31" t="n">
        <f aca="false">IF(ISNUMBER(C25),(C24-INDEX('04 Mietmodell'!$D$8:$D$17,C23-1))*12,"–")</f>
        <v>2400</v>
      </c>
      <c r="D27" s="43"/>
      <c r="E27" s="43"/>
      <c r="F27" s="43"/>
      <c r="G27" s="43"/>
    </row>
    <row r="28" customFormat="false" ht="15" hidden="false" customHeight="false" outlineLevel="0" collapsed="false">
      <c r="B28" s="14" t="s">
        <v>230</v>
      </c>
      <c r="C28" s="31" t="n">
        <f aca="false">IF(ISNUMBER(C26),C26*'02 Eingaben'!$C$60,"–")</f>
        <v>4872</v>
      </c>
    </row>
    <row r="29" customFormat="false" ht="15" hidden="false" customHeight="false" outlineLevel="0" collapsed="false">
      <c r="B29" s="14" t="s">
        <v>231</v>
      </c>
      <c r="C29" s="31" t="n">
        <f aca="false">IF(ISNUMBER(C26),C27+C28,"–")</f>
        <v>7272</v>
      </c>
    </row>
    <row r="31" customFormat="false" ht="18" hidden="false" customHeight="true" outlineLevel="0" collapsed="false">
      <c r="B31" s="4" t="s">
        <v>232</v>
      </c>
      <c r="C31" s="4"/>
      <c r="D31" s="4"/>
      <c r="E31" s="4"/>
      <c r="F31" s="4"/>
      <c r="G31" s="4"/>
    </row>
    <row r="32" customFormat="false" ht="15" hidden="false" customHeight="false" outlineLevel="0" collapsed="false">
      <c r="B32" s="14" t="s">
        <v>233</v>
      </c>
      <c r="C32" s="29" t="n">
        <v>5000</v>
      </c>
    </row>
    <row r="33" customFormat="false" ht="15" hidden="false" customHeight="false" outlineLevel="0" collapsed="false">
      <c r="B33" s="14" t="s">
        <v>234</v>
      </c>
      <c r="C33" s="31" t="n">
        <f aca="false">MAX(0,C22-C32)</f>
        <v>172400</v>
      </c>
    </row>
    <row r="34" customFormat="false" ht="15" hidden="false" customHeight="false" outlineLevel="0" collapsed="false">
      <c r="B34" s="14" t="s">
        <v>235</v>
      </c>
      <c r="C34" s="46" t="n">
        <f aca="false">IF(COUNT('04 Mietmodell'!$C$8:$C$17)=0,0,SUMPRODUCT(('04 Mietmodell'!$C$8:$C$17&lt;&gt;"")*('04 Mietmodell'!$C$8:$C$17&lt;C33))+1)</f>
        <v>5</v>
      </c>
    </row>
    <row r="35" customFormat="false" ht="15" hidden="false" customHeight="false" outlineLevel="0" collapsed="false">
      <c r="B35" s="14" t="s">
        <v>236</v>
      </c>
      <c r="C35" s="31" t="n">
        <f aca="false">IF(COUNT('04 Mietmodell'!$C$8:$C$17)=0,0,IF(C34&gt;COUNT('04 Mietmodell'!$C$8:$C$17),'04 Mietmodell'!$D$18,INDEX('04 Mietmodell'!$D$8:$D$17,C34)))</f>
        <v>2700</v>
      </c>
    </row>
    <row r="36" customFormat="false" ht="15" hidden="false" customHeight="false" outlineLevel="0" collapsed="false">
      <c r="B36" s="14" t="s">
        <v>237</v>
      </c>
      <c r="C36" s="31" t="n">
        <f aca="false">(C24-C35)*12</f>
        <v>0</v>
      </c>
    </row>
    <row r="37" customFormat="false" ht="15" hidden="false" customHeight="false" outlineLevel="0" collapsed="false">
      <c r="B37" s="14" t="s">
        <v>238</v>
      </c>
      <c r="C37" s="31" t="n">
        <f aca="false">C32*'02 Eingaben'!$C$60</f>
        <v>1400</v>
      </c>
    </row>
    <row r="38" customFormat="false" ht="15" hidden="false" customHeight="false" outlineLevel="0" collapsed="false">
      <c r="B38" s="6" t="s">
        <v>231</v>
      </c>
      <c r="C38" s="33" t="n">
        <f aca="false">C36+C37</f>
        <v>1400</v>
      </c>
    </row>
    <row r="39" customFormat="false" ht="15" hidden="false" customHeight="false" outlineLevel="0" collapsed="false">
      <c r="B39" s="14" t="s">
        <v>239</v>
      </c>
      <c r="C39" s="9" t="str">
        <f aca="false">IF(C34&lt;C23,"Mietstufe sinkt von "&amp;C23&amp;" auf "&amp;C34,IF(C34=C23,"Mietstufe bleibt unverändert","Mietstufe steigt"))</f>
        <v>Mietstufe bleibt unverändert</v>
      </c>
      <c r="D39" s="9"/>
      <c r="E39" s="9"/>
    </row>
    <row r="41" customFormat="false" ht="15" hidden="false" customHeight="true" outlineLevel="0" collapsed="false">
      <c r="B41" s="43" t="s">
        <v>240</v>
      </c>
      <c r="C41" s="43"/>
      <c r="D41" s="43"/>
      <c r="E41" s="43"/>
      <c r="F41" s="43"/>
      <c r="G41" s="43"/>
    </row>
    <row r="42" customFormat="false" ht="15" hidden="false" customHeight="false" outlineLevel="0" collapsed="false">
      <c r="B42" s="43"/>
      <c r="C42" s="43"/>
      <c r="D42" s="43"/>
      <c r="E42" s="43"/>
      <c r="F42" s="43"/>
      <c r="G42" s="43"/>
    </row>
  </sheetData>
  <sheetProtection sheet="true" formatCells="false" formatColumns="false" formatRows="false"/>
  <mergeCells count="5">
    <mergeCell ref="B6:G6"/>
    <mergeCell ref="D19:G19"/>
    <mergeCell ref="D26:G27"/>
    <mergeCell ref="C39:E39"/>
    <mergeCell ref="B41:G42"/>
  </mergeCells>
  <dataValidations count="1">
    <dataValidation allowBlank="true" error="Der Wert liegt ausserhalb des üblichen Bereichs. Trotzdem übernehmen?" errorStyle="warning" errorTitle="Prüfen" operator="greaterThanOrEqual" showDropDown="false" showErrorMessage="true" showInputMessage="false" sqref="C8:D18 C3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24" hidden="false" customHeight="true" outlineLevel="0" collapsed="false">
      <c r="B1" s="1" t="s">
        <v>241</v>
      </c>
    </row>
    <row r="2" customFormat="false" ht="15" hidden="false" customHeight="false" outlineLevel="0" collapsed="false">
      <c r="B2" s="2" t="s">
        <v>242</v>
      </c>
    </row>
    <row r="4" customFormat="false" ht="18" hidden="false" customHeight="true" outlineLevel="0" collapsed="false">
      <c r="B4" s="4" t="s">
        <v>243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14" t="s">
        <v>244</v>
      </c>
      <c r="C5" s="46" t="n">
        <f aca="false">'02 Eingaben'!$C$7</f>
        <v>2026</v>
      </c>
    </row>
    <row r="6" customFormat="false" ht="15" hidden="false" customHeight="false" outlineLevel="0" collapsed="false">
      <c r="B6" s="14" t="s">
        <v>245</v>
      </c>
      <c r="C6" s="46" t="n">
        <f aca="false">'06 Grundlagen'!$C$5</f>
        <v>2</v>
      </c>
    </row>
    <row r="7" customFormat="false" ht="15" hidden="false" customHeight="false" outlineLevel="0" collapsed="false">
      <c r="B7" s="14" t="s">
        <v>246</v>
      </c>
      <c r="C7" s="46" t="n">
        <f aca="false">COUNTIF('06 Grundlagen'!$L$9:$L$39,0)</f>
        <v>0</v>
      </c>
    </row>
    <row r="8" customFormat="false" ht="15" hidden="false" customHeight="false" outlineLevel="0" collapsed="false">
      <c r="B8" s="14" t="s">
        <v>247</v>
      </c>
      <c r="C8" s="46" t="n">
        <f aca="false">SUMPRODUCT(('06 Grundlagen'!$I$9:$I$39&lt;&gt;"")*('06 Grundlagen'!$I$9:$I$39&lt;&gt;"bestätigt")*('06 Grundlagen'!$L$9:$L$39=1))</f>
        <v>24</v>
      </c>
    </row>
    <row r="10" customFormat="false" ht="18" hidden="false" customHeight="true" outlineLevel="0" collapsed="false">
      <c r="B10" s="4" t="s">
        <v>248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C11" s="5" t="s">
        <v>63</v>
      </c>
      <c r="D11" s="5" t="s">
        <v>64</v>
      </c>
    </row>
    <row r="12" customFormat="false" ht="15" hidden="false" customHeight="false" outlineLevel="0" collapsed="false">
      <c r="B12" s="14" t="s">
        <v>249</v>
      </c>
      <c r="C12" s="31" t="n">
        <f aca="false">'02 Eingaben'!$C$21+'02 Eingaben'!$C$22</f>
        <v>173000</v>
      </c>
      <c r="D12" s="31" t="n">
        <f aca="false">'02 Eingaben'!$D$21+'02 Eingaben'!$D$22</f>
        <v>61800</v>
      </c>
    </row>
    <row r="13" customFormat="false" ht="15" hidden="false" customHeight="false" outlineLevel="0" collapsed="false">
      <c r="B13" s="14" t="s">
        <v>250</v>
      </c>
      <c r="C13" s="17" t="str">
        <f aca="false">'02 Eingaben'!$C$49</f>
        <v>mit PK</v>
      </c>
      <c r="D13" s="17" t="str">
        <f aca="false">'02 Eingaben'!$D$49</f>
        <v>mit PK</v>
      </c>
    </row>
    <row r="14" customFormat="false" ht="15" hidden="false" customHeight="false" outlineLevel="0" collapsed="false">
      <c r="B14" s="14" t="s">
        <v>184</v>
      </c>
      <c r="C14" s="31" t="n">
        <f aca="false">IF(C13="mit PK",'06 Grundlagen'!$D$10,IF(C13="ohne PK",MIN('06 Grundlagen'!$D$11,'06 Grundlagen'!$D$12*MAX(0,C12)),0))</f>
        <v>7258</v>
      </c>
      <c r="D14" s="31" t="n">
        <f aca="false">IF(D13="mit PK",'06 Grundlagen'!$D$10,IF(D13="ohne PK",MIN('06 Grundlagen'!$D$11,'06 Grundlagen'!$D$12*MAX(0,D12)),0))</f>
        <v>7258</v>
      </c>
    </row>
    <row r="15" customFormat="false" ht="15" hidden="false" customHeight="false" outlineLevel="0" collapsed="false">
      <c r="B15" s="14" t="s">
        <v>251</v>
      </c>
      <c r="C15" s="31" t="n">
        <f aca="false">N('02 Eingaben'!$C$50)</f>
        <v>3000</v>
      </c>
      <c r="D15" s="31" t="n">
        <f aca="false">N('02 Eingaben'!$D$50)</f>
        <v>0</v>
      </c>
    </row>
    <row r="16" customFormat="false" ht="15" hidden="false" customHeight="false" outlineLevel="0" collapsed="false">
      <c r="B16" s="14" t="s">
        <v>252</v>
      </c>
      <c r="C16" s="31" t="n">
        <f aca="false">MAX(0,C14-C15)</f>
        <v>4258</v>
      </c>
      <c r="D16" s="31" t="n">
        <f aca="false">MAX(0,D14-D15)</f>
        <v>7258</v>
      </c>
    </row>
    <row r="17" customFormat="false" ht="15" hidden="false" customHeight="false" outlineLevel="0" collapsed="false">
      <c r="B17" s="14" t="s">
        <v>253</v>
      </c>
      <c r="C17" s="46" t="n">
        <f aca="false">IF('02 Eingaben'!$C$52&lt;&gt;"",1,0)</f>
        <v>1</v>
      </c>
      <c r="D17" s="46" t="n">
        <f aca="false">IF('02 Eingaben'!$D$52&lt;&gt;"",1,0)</f>
        <v>1</v>
      </c>
    </row>
    <row r="18" customFormat="false" ht="15" hidden="false" customHeight="false" outlineLevel="0" collapsed="false">
      <c r="B18" s="14" t="s">
        <v>254</v>
      </c>
      <c r="C18" s="31" t="n">
        <f aca="false">IF(C17=1,'02 Eingaben'!$C$52,0)</f>
        <v>40000</v>
      </c>
      <c r="D18" s="31" t="n">
        <f aca="false">IF(D17=1,'02 Eingaben'!$D$52,0)</f>
        <v>15000</v>
      </c>
    </row>
    <row r="19" customFormat="false" ht="15" hidden="false" customHeight="false" outlineLevel="0" collapsed="false">
      <c r="B19" s="14" t="s">
        <v>255</v>
      </c>
      <c r="C19" s="31" t="n">
        <f aca="false">N('02 Eingaben'!$C$51)</f>
        <v>0</v>
      </c>
      <c r="D19" s="31" t="n">
        <f aca="false">N('02 Eingaben'!$D$51)</f>
        <v>0</v>
      </c>
    </row>
    <row r="20" customFormat="false" ht="15" hidden="false" customHeight="false" outlineLevel="0" collapsed="false">
      <c r="B20" s="14" t="s">
        <v>256</v>
      </c>
      <c r="C20" s="40" t="n">
        <f aca="false">IF(C17=1,MAX(0,C18-C19),1000000000)</f>
        <v>40000</v>
      </c>
      <c r="D20" s="40" t="n">
        <f aca="false">IF(D17=1,MAX(0,D18-D19),1000000000)</f>
        <v>15000</v>
      </c>
    </row>
    <row r="22" customFormat="false" ht="18" hidden="false" customHeight="true" outlineLevel="0" collapsed="false">
      <c r="B22" s="4" t="s">
        <v>257</v>
      </c>
      <c r="C22" s="4"/>
      <c r="D22" s="4"/>
      <c r="E22" s="4"/>
      <c r="F22" s="4"/>
      <c r="G22" s="4"/>
    </row>
    <row r="23" customFormat="false" ht="15" hidden="false" customHeight="false" outlineLevel="0" collapsed="false">
      <c r="C23" s="5" t="s">
        <v>258</v>
      </c>
      <c r="D23" s="5" t="s">
        <v>259</v>
      </c>
      <c r="E23" s="5" t="s">
        <v>260</v>
      </c>
      <c r="F23" s="5" t="s">
        <v>261</v>
      </c>
    </row>
    <row r="24" customFormat="false" ht="15" hidden="false" customHeight="false" outlineLevel="0" collapsed="false">
      <c r="B24" s="14" t="s">
        <v>76</v>
      </c>
      <c r="C24" s="31" t="n">
        <f aca="false">'02 Eingaben'!$C$21</f>
        <v>173000</v>
      </c>
      <c r="D24" s="31" t="n">
        <f aca="false">'02 Eingaben'!$D$21</f>
        <v>61800</v>
      </c>
      <c r="E24" s="31" t="n">
        <f aca="false">'02 Eingaben'!$C$21</f>
        <v>173000</v>
      </c>
      <c r="F24" s="31" t="n">
        <f aca="false">'02 Eingaben'!$D$21</f>
        <v>61800</v>
      </c>
    </row>
    <row r="25" customFormat="false" ht="15" hidden="false" customHeight="false" outlineLevel="0" collapsed="false">
      <c r="B25" s="14" t="s">
        <v>262</v>
      </c>
      <c r="C25" s="31" t="n">
        <f aca="false">N('02 Eingaben'!$C$28)</f>
        <v>1800</v>
      </c>
      <c r="D25" s="31" t="n">
        <f aca="false">N('02 Eingaben'!$D$28)</f>
        <v>800</v>
      </c>
      <c r="E25" s="31" t="n">
        <f aca="false">N('02 Eingaben'!$C$28)</f>
        <v>1800</v>
      </c>
      <c r="F25" s="31" t="n">
        <f aca="false">N('02 Eingaben'!$D$28)</f>
        <v>800</v>
      </c>
    </row>
    <row r="26" customFormat="false" ht="15" hidden="false" customHeight="false" outlineLevel="0" collapsed="false">
      <c r="B26" s="14" t="s">
        <v>263</v>
      </c>
      <c r="C26" s="31" t="n">
        <f aca="false">MIN(C25,'06 Grundlagen'!$D$20)</f>
        <v>1800</v>
      </c>
      <c r="D26" s="31" t="n">
        <f aca="false">MIN(D25,'06 Grundlagen'!$D$20)</f>
        <v>800</v>
      </c>
      <c r="E26" s="31" t="n">
        <f aca="false">MIN(E25,'06 Grundlagen'!$D$34)</f>
        <v>1800</v>
      </c>
      <c r="F26" s="31" t="n">
        <f aca="false">MIN(F25,'06 Grundlagen'!$D$34)</f>
        <v>800</v>
      </c>
    </row>
    <row r="27" customFormat="false" ht="15" hidden="false" customHeight="false" outlineLevel="0" collapsed="false">
      <c r="B27" s="14" t="s">
        <v>264</v>
      </c>
      <c r="C27" s="31" t="n">
        <f aca="false">MIN(N('02 Eingaben'!$C$29)*'06 Grundlagen'!$D$21,'06 Grundlagen'!$D$22)</f>
        <v>1500</v>
      </c>
      <c r="D27" s="31" t="n">
        <f aca="false">MIN(N('02 Eingaben'!$D$29)*'06 Grundlagen'!$D$21,'06 Grundlagen'!$D$22)</f>
        <v>0</v>
      </c>
      <c r="E27" s="31" t="n">
        <f aca="false">MIN(N('02 Eingaben'!$C$29)*'06 Grundlagen'!$D$35,'06 Grundlagen'!$D$36)</f>
        <v>1500</v>
      </c>
      <c r="F27" s="31" t="n">
        <f aca="false">MIN(N('02 Eingaben'!$D$29)*'06 Grundlagen'!$D$35,'06 Grundlagen'!$D$36)</f>
        <v>0</v>
      </c>
    </row>
    <row r="28" customFormat="false" ht="15" hidden="false" customHeight="false" outlineLevel="0" collapsed="false">
      <c r="B28" s="14" t="s">
        <v>265</v>
      </c>
      <c r="C28" s="31" t="n">
        <f aca="false">IF('02 Eingaben'!$C$30&lt;&gt;"",'02 Eingaben'!$C$30,IF(C24&gt;0,MIN('06 Grundlagen'!$D$25,MAX('06 Grundlagen'!$D$24,'06 Grundlagen'!$D$23*C24)),0))</f>
        <v>4000</v>
      </c>
      <c r="D28" s="31" t="n">
        <f aca="false">IF('02 Eingaben'!$D$30&lt;&gt;"",'02 Eingaben'!$D$30,IF(D24&gt;0,MIN('06 Grundlagen'!$D$25,MAX('06 Grundlagen'!$D$24,'06 Grundlagen'!$D$23*D24)),0))</f>
        <v>2000</v>
      </c>
      <c r="E28" s="31" t="n">
        <f aca="false">IF('02 Eingaben'!$C$30&lt;&gt;"",'02 Eingaben'!$C$30,IF(E24&gt;0,MIN('06 Grundlagen'!$D$39,MAX('06 Grundlagen'!$D$38,'06 Grundlagen'!$D$37*E24)),0))</f>
        <v>4000</v>
      </c>
      <c r="F28" s="31" t="n">
        <f aca="false">IF('02 Eingaben'!$D$30&lt;&gt;"",'02 Eingaben'!$D$30,IF(F24&gt;0,MIN('06 Grundlagen'!$D$39,MAX('06 Grundlagen'!$D$38,'06 Grundlagen'!$D$37*F24)),0))</f>
        <v>2000</v>
      </c>
    </row>
    <row r="29" customFormat="false" ht="15" hidden="false" customHeight="false" outlineLevel="0" collapsed="false">
      <c r="B29" s="6" t="s">
        <v>266</v>
      </c>
      <c r="C29" s="35" t="n">
        <f aca="false">IF(C24&gt;0,SUM(C26:C28),0)</f>
        <v>7300</v>
      </c>
      <c r="D29" s="35" t="n">
        <f aca="false">IF(D24&gt;0,SUM(D26:D28),0)</f>
        <v>2800</v>
      </c>
      <c r="E29" s="35" t="n">
        <f aca="false">IF(E24&gt;0,SUM(E26:E28),0)</f>
        <v>7300</v>
      </c>
      <c r="F29" s="35" t="n">
        <f aca="false">IF(F24&gt;0,SUM(F26:F28),0)</f>
        <v>2800</v>
      </c>
    </row>
    <row r="31" customFormat="false" ht="18" hidden="false" customHeight="true" outlineLevel="0" collapsed="false">
      <c r="B31" s="4" t="s">
        <v>267</v>
      </c>
      <c r="C31" s="4"/>
      <c r="D31" s="4"/>
      <c r="E31" s="4"/>
      <c r="F31" s="4"/>
      <c r="G31" s="4"/>
    </row>
    <row r="32" customFormat="false" ht="15" hidden="false" customHeight="false" outlineLevel="0" collapsed="false">
      <c r="C32" s="5" t="s">
        <v>140</v>
      </c>
      <c r="D32" s="5" t="s">
        <v>268</v>
      </c>
    </row>
    <row r="33" customFormat="false" ht="15" hidden="false" customHeight="false" outlineLevel="0" collapsed="false">
      <c r="B33" s="14" t="s">
        <v>269</v>
      </c>
      <c r="C33" s="31" t="n">
        <f aca="false">'06 Grundlagen'!$D$15+'02 Eingaben'!$C$10*'06 Grundlagen'!$D$16</f>
        <v>9700</v>
      </c>
      <c r="D33" s="31" t="n">
        <f aca="false">'06 Grundlagen'!$D$28+'02 Eingaben'!$C$10*'06 Grundlagen'!$D$29</f>
        <v>5800</v>
      </c>
    </row>
    <row r="34" customFormat="false" ht="15" hidden="false" customHeight="false" outlineLevel="0" collapsed="false">
      <c r="B34" s="14" t="s">
        <v>270</v>
      </c>
      <c r="C34" s="31" t="n">
        <f aca="false">IF('02 Eingaben'!$C$33="",C33,MIN('02 Eingaben'!$C$33,C33))</f>
        <v>9700</v>
      </c>
      <c r="D34" s="31" t="n">
        <f aca="false">IF('02 Eingaben'!$C$33="",D33,MIN('02 Eingaben'!$C$33,D33))</f>
        <v>5800</v>
      </c>
    </row>
    <row r="35" customFormat="false" ht="15" hidden="false" customHeight="false" outlineLevel="0" collapsed="false">
      <c r="B35" s="14" t="s">
        <v>271</v>
      </c>
      <c r="C35" s="31" t="n">
        <f aca="false">'02 Eingaben'!$C$10*'06 Grundlagen'!$D$14</f>
        <v>28200</v>
      </c>
      <c r="D35" s="31" t="n">
        <f aca="false">'02 Eingaben'!$C$10*'06 Grundlagen'!$D$27</f>
        <v>20400</v>
      </c>
    </row>
    <row r="36" customFormat="false" ht="15" hidden="false" customHeight="false" outlineLevel="0" collapsed="false">
      <c r="B36" s="14" t="s">
        <v>272</v>
      </c>
      <c r="C36" s="31" t="n">
        <f aca="false">MIN('02 Eingaben'!$C$21+'02 Eingaben'!$C$22-C29,'02 Eingaben'!$D$21+'02 Eingaben'!$D$22-D29)</f>
        <v>59000</v>
      </c>
      <c r="D36" s="31" t="n">
        <f aca="false">MIN('02 Eingaben'!$C$21+'02 Eingaben'!$C$22-E29,'02 Eingaben'!$D$21+'02 Eingaben'!$D$22-F29)</f>
        <v>59000</v>
      </c>
    </row>
    <row r="37" customFormat="false" ht="15" hidden="false" customHeight="false" outlineLevel="0" collapsed="false">
      <c r="B37" s="14" t="s">
        <v>273</v>
      </c>
      <c r="C37" s="31" t="n">
        <f aca="false">IF(AND('02 Eingaben'!$C$8="Verheiratet",'02 Eingaben'!$C$21+'02 Eingaben'!$C$22&gt;0,'02 Eingaben'!$D$21+'02 Eingaben'!$D$22&gt;0),MAX(0,MIN(C36,MAX('06 Grundlagen'!$D$18,MIN('06 Grundlagen'!$D$19,'06 Grundlagen'!$D$17*C36)))),0)</f>
        <v>5900</v>
      </c>
      <c r="D37" s="31" t="n">
        <f aca="false">IF(AND('02 Eingaben'!$C$8="Verheiratet",'02 Eingaben'!$C$21+'02 Eingaben'!$C$22&gt;0,'02 Eingaben'!$D$21+'02 Eingaben'!$D$22&gt;0),MAX(0,MIN(D36,MAX('06 Grundlagen'!$D$31,MIN('06 Grundlagen'!$D$32,'06 Grundlagen'!$D$30*D36)))),0)</f>
        <v>14100</v>
      </c>
    </row>
    <row r="38" customFormat="false" ht="15" hidden="false" customHeight="false" outlineLevel="0" collapsed="false">
      <c r="B38" s="14" t="s">
        <v>274</v>
      </c>
      <c r="C38" s="31" t="n">
        <f aca="false">0</f>
        <v>0</v>
      </c>
      <c r="D38" s="31" t="n">
        <f aca="false">IF('02 Eingaben'!$C$8="Verheiratet",'06 Grundlagen'!$D$33,0)</f>
        <v>2800</v>
      </c>
    </row>
    <row r="40" customFormat="false" ht="18" hidden="false" customHeight="true" outlineLevel="0" collapsed="false">
      <c r="B40" s="4" t="s">
        <v>275</v>
      </c>
      <c r="C40" s="4"/>
      <c r="D40" s="4"/>
      <c r="E40" s="4"/>
      <c r="F40" s="4"/>
      <c r="G40" s="4"/>
    </row>
    <row r="41" customFormat="false" ht="15" hidden="false" customHeight="false" outlineLevel="0" collapsed="false">
      <c r="C41" s="5" t="s">
        <v>140</v>
      </c>
      <c r="D41" s="5" t="s">
        <v>268</v>
      </c>
    </row>
    <row r="42" customFormat="false" ht="15" hidden="false" customHeight="false" outlineLevel="0" collapsed="false">
      <c r="B42" s="14" t="s">
        <v>80</v>
      </c>
      <c r="C42" s="31" t="n">
        <f aca="false">'02 Eingaben'!$F$24</f>
        <v>234800</v>
      </c>
      <c r="D42" s="31" t="n">
        <f aca="false">'02 Eingaben'!$F$24</f>
        <v>234800</v>
      </c>
    </row>
    <row r="43" customFormat="false" ht="15" hidden="false" customHeight="false" outlineLevel="0" collapsed="false">
      <c r="B43" s="14" t="s">
        <v>276</v>
      </c>
      <c r="C43" s="31" t="n">
        <f aca="false">'02 Eingaben'!$G$35</f>
        <v>7300</v>
      </c>
      <c r="D43" s="31" t="n">
        <f aca="false">'02 Eingaben'!$H$35</f>
        <v>7300</v>
      </c>
    </row>
    <row r="44" customFormat="false" ht="15" hidden="false" customHeight="false" outlineLevel="0" collapsed="false">
      <c r="B44" s="14" t="s">
        <v>277</v>
      </c>
      <c r="C44" s="31" t="n">
        <f aca="false">'02 Eingaben'!$G$36</f>
        <v>2800</v>
      </c>
      <c r="D44" s="31" t="n">
        <f aca="false">'02 Eingaben'!$H$36</f>
        <v>2800</v>
      </c>
    </row>
    <row r="45" customFormat="false" ht="15" hidden="false" customHeight="false" outlineLevel="0" collapsed="false">
      <c r="B45" s="14" t="s">
        <v>278</v>
      </c>
      <c r="C45" s="31" t="n">
        <f aca="false">'02 Eingaben'!$G$37</f>
        <v>9700</v>
      </c>
      <c r="D45" s="31" t="n">
        <f aca="false">'02 Eingaben'!$H$37</f>
        <v>5800</v>
      </c>
    </row>
    <row r="46" customFormat="false" ht="15" hidden="false" customHeight="false" outlineLevel="0" collapsed="false">
      <c r="B46" s="14" t="s">
        <v>279</v>
      </c>
      <c r="C46" s="31" t="n">
        <f aca="false">'02 Eingaben'!$G$38</f>
        <v>28200</v>
      </c>
      <c r="D46" s="31" t="n">
        <f aca="false">'02 Eingaben'!$H$38</f>
        <v>20400</v>
      </c>
    </row>
    <row r="47" customFormat="false" ht="15" hidden="false" customHeight="false" outlineLevel="0" collapsed="false">
      <c r="B47" s="14" t="s">
        <v>280</v>
      </c>
      <c r="C47" s="31" t="n">
        <f aca="false">'02 Eingaben'!$G$39</f>
        <v>5900</v>
      </c>
      <c r="D47" s="31" t="n">
        <f aca="false">'02 Eingaben'!$H$39</f>
        <v>14100</v>
      </c>
    </row>
    <row r="48" customFormat="false" ht="15" hidden="false" customHeight="false" outlineLevel="0" collapsed="false">
      <c r="B48" s="14" t="s">
        <v>281</v>
      </c>
      <c r="C48" s="31" t="n">
        <f aca="false">'02 Eingaben'!$G$40</f>
        <v>0</v>
      </c>
      <c r="D48" s="31" t="n">
        <f aca="false">'02 Eingaben'!$H$40</f>
        <v>2800</v>
      </c>
    </row>
    <row r="49" customFormat="false" ht="15" hidden="false" customHeight="false" outlineLevel="0" collapsed="false">
      <c r="B49" s="14" t="s">
        <v>282</v>
      </c>
      <c r="C49" s="31" t="n">
        <f aca="false">'02 Eingaben'!$G$41</f>
        <v>0</v>
      </c>
      <c r="D49" s="31" t="n">
        <f aca="false">'02 Eingaben'!$H$41</f>
        <v>0</v>
      </c>
    </row>
    <row r="50" customFormat="false" ht="15" hidden="false" customHeight="false" outlineLevel="0" collapsed="false">
      <c r="B50" s="14" t="s">
        <v>283</v>
      </c>
      <c r="C50" s="31" t="n">
        <f aca="false">SUM('02 Eingaben'!$G$42:$G$44)</f>
        <v>500</v>
      </c>
      <c r="D50" s="31" t="n">
        <f aca="false">SUM('02 Eingaben'!$H$42:$H$44)</f>
        <v>500</v>
      </c>
    </row>
    <row r="51" customFormat="false" ht="15" hidden="false" customHeight="false" outlineLevel="0" collapsed="false">
      <c r="B51" s="14" t="s">
        <v>284</v>
      </c>
      <c r="C51" s="31" t="n">
        <f aca="false">SUM(C43:C50)</f>
        <v>54400</v>
      </c>
      <c r="D51" s="31" t="n">
        <f aca="false">SUM(D43:D50)</f>
        <v>53700</v>
      </c>
    </row>
    <row r="52" customFormat="false" ht="15" hidden="false" customHeight="false" outlineLevel="0" collapsed="false">
      <c r="B52" s="6" t="s">
        <v>285</v>
      </c>
      <c r="C52" s="35" t="n">
        <f aca="false">MAX(0,C42-C51)</f>
        <v>180400</v>
      </c>
      <c r="D52" s="35" t="n">
        <f aca="false">MAX(0,D42-D51)</f>
        <v>181100</v>
      </c>
      <c r="G52" s="28" t="s">
        <v>286</v>
      </c>
    </row>
    <row r="54" customFormat="false" ht="18" hidden="false" customHeight="true" outlineLevel="0" collapsed="false">
      <c r="B54" s="4" t="s">
        <v>287</v>
      </c>
      <c r="C54" s="4"/>
      <c r="D54" s="4"/>
      <c r="E54" s="4"/>
      <c r="F54" s="4"/>
      <c r="G54" s="4"/>
    </row>
    <row r="55" customFormat="false" ht="15" hidden="false" customHeight="false" outlineLevel="0" collapsed="false">
      <c r="B55" s="14" t="s">
        <v>288</v>
      </c>
      <c r="C55" s="46" t="n">
        <f aca="false">'02 Eingaben'!$C$58</f>
        <v>2025</v>
      </c>
    </row>
    <row r="56" customFormat="false" ht="15" hidden="false" customHeight="false" outlineLevel="0" collapsed="false">
      <c r="B56" s="14" t="s">
        <v>289</v>
      </c>
      <c r="C56" s="46" t="n">
        <f aca="false">IFERROR(MATCH(C55,'07 Vorjahre'!$B$6:$B$9,0),0)</f>
        <v>3</v>
      </c>
    </row>
    <row r="57" customFormat="false" ht="15" hidden="false" customHeight="false" outlineLevel="0" collapsed="false">
      <c r="B57" s="14" t="s">
        <v>21</v>
      </c>
      <c r="C57" s="31" t="n">
        <f aca="false">IF(C56=0,0,IF(INDEX('07 Vorjahre'!$C$6:$C$9,C56)="",0,INDEX('07 Vorjahre'!$C$6:$C$9,C56)))</f>
        <v>165000</v>
      </c>
    </row>
    <row r="58" customFormat="false" ht="15" hidden="false" customHeight="false" outlineLevel="0" collapsed="false">
      <c r="B58" s="14" t="s">
        <v>290</v>
      </c>
      <c r="C58" s="31" t="n">
        <f aca="false">IF(C56=0,0,N(INDEX('07 Vorjahre'!$E$6:$E$9,C56))+N(INDEX('07 Vorjahre'!$F$6:$F$9,C56)))</f>
        <v>14516</v>
      </c>
    </row>
    <row r="59" customFormat="false" ht="15" hidden="false" customHeight="false" outlineLevel="0" collapsed="false">
      <c r="B59" s="14" t="s">
        <v>291</v>
      </c>
      <c r="C59" s="31" t="n">
        <f aca="false">IF(C56=0,0,N(INDEX('07 Vorjahre'!$G$6:$G$9,C56))+N(INDEX('07 Vorjahre'!$H$6:$H$9,C56)))</f>
        <v>5000</v>
      </c>
    </row>
    <row r="60" customFormat="false" ht="15" hidden="false" customHeight="false" outlineLevel="0" collapsed="false">
      <c r="B60" s="14" t="s">
        <v>292</v>
      </c>
      <c r="C60" s="31" t="n">
        <f aca="false">IF(C56=0,0,N(INDEX('07 Vorjahre'!$J$6:$J$9,C56)))</f>
        <v>31000</v>
      </c>
    </row>
    <row r="61" customFormat="false" ht="15" hidden="false" customHeight="false" outlineLevel="0" collapsed="false">
      <c r="B61" s="14" t="s">
        <v>293</v>
      </c>
      <c r="C61" s="31" t="n">
        <f aca="false">IF(C56=0,0,IF(ISNUMBER(INDEX('07 Vorjahre'!$N$6:$N$9,C56)),INDEX('07 Vorjahre'!$N$6:$N$9,C56),0))</f>
        <v>30000</v>
      </c>
    </row>
    <row r="62" customFormat="false" ht="15" hidden="false" customHeight="false" outlineLevel="0" collapsed="false">
      <c r="B62" s="6" t="s">
        <v>136</v>
      </c>
      <c r="C62" s="33" t="n">
        <f aca="false">'02 Eingaben'!$C$59</f>
        <v>160000</v>
      </c>
    </row>
    <row r="63" customFormat="false" ht="15" hidden="false" customHeight="false" outlineLevel="0" collapsed="false">
      <c r="B63" s="14" t="s">
        <v>294</v>
      </c>
      <c r="C63" s="47" t="n">
        <f aca="false">N('02 Eingaben'!$C$60)</f>
        <v>0.28</v>
      </c>
    </row>
    <row r="65" customFormat="false" ht="18" hidden="false" customHeight="true" outlineLevel="0" collapsed="false">
      <c r="B65" s="4" t="s">
        <v>295</v>
      </c>
      <c r="C65" s="4"/>
      <c r="D65" s="4"/>
      <c r="E65" s="4"/>
      <c r="F65" s="4"/>
      <c r="G65" s="4"/>
    </row>
    <row r="66" customFormat="false" ht="43.5" hidden="false" customHeight="true" outlineLevel="0" collapsed="false">
      <c r="C66" s="5" t="s">
        <v>15</v>
      </c>
      <c r="D66" s="5" t="s">
        <v>16</v>
      </c>
      <c r="E66" s="5" t="s">
        <v>17</v>
      </c>
      <c r="F66" s="5" t="s">
        <v>18</v>
      </c>
    </row>
    <row r="67" customFormat="false" ht="15" hidden="false" customHeight="false" outlineLevel="0" collapsed="false">
      <c r="B67" s="14" t="s">
        <v>296</v>
      </c>
      <c r="C67" s="31" t="n">
        <f aca="false">$C$15</f>
        <v>3000</v>
      </c>
      <c r="D67" s="31" t="n">
        <f aca="false">C67+'03 Optimierung'!$C$41</f>
        <v>7258</v>
      </c>
      <c r="E67" s="31" t="n">
        <f aca="false">'03 Optimierung'!$E$33</f>
        <v>7258</v>
      </c>
      <c r="F67" s="31" t="n">
        <f aca="false">N('03 Optimierung'!$C$47)</f>
        <v>7258</v>
      </c>
    </row>
    <row r="68" customFormat="false" ht="15" hidden="false" customHeight="false" outlineLevel="0" collapsed="false">
      <c r="B68" s="14" t="s">
        <v>297</v>
      </c>
      <c r="C68" s="31" t="n">
        <f aca="false">$D$15</f>
        <v>0</v>
      </c>
      <c r="D68" s="31" t="n">
        <f aca="false">C68+'03 Optimierung'!$C$42</f>
        <v>7258</v>
      </c>
      <c r="E68" s="31" t="n">
        <f aca="false">'03 Optimierung'!$E$34</f>
        <v>7258</v>
      </c>
      <c r="F68" s="31" t="n">
        <f aca="false">N('03 Optimierung'!$C$48)</f>
        <v>7258</v>
      </c>
    </row>
    <row r="69" customFormat="false" ht="15" hidden="false" customHeight="false" outlineLevel="0" collapsed="false">
      <c r="B69" s="14" t="s">
        <v>165</v>
      </c>
      <c r="C69" s="31" t="n">
        <f aca="false">$C$19</f>
        <v>0</v>
      </c>
      <c r="D69" s="31" t="n">
        <f aca="false">C69</f>
        <v>0</v>
      </c>
      <c r="E69" s="31" t="n">
        <f aca="false">'03 Optimierung'!$E$35</f>
        <v>5884</v>
      </c>
      <c r="F69" s="31" t="n">
        <f aca="false">N('03 Optimierung'!$C$49)</f>
        <v>5000</v>
      </c>
    </row>
    <row r="70" customFormat="false" ht="15" hidden="false" customHeight="false" outlineLevel="0" collapsed="false">
      <c r="B70" s="14" t="s">
        <v>167</v>
      </c>
      <c r="C70" s="31" t="n">
        <f aca="false">$D$19</f>
        <v>0</v>
      </c>
      <c r="D70" s="31" t="n">
        <f aca="false">C70</f>
        <v>0</v>
      </c>
      <c r="E70" s="31" t="n">
        <f aca="false">'03 Optimierung'!$E$36</f>
        <v>0</v>
      </c>
      <c r="F70" s="31" t="n">
        <f aca="false">N('03 Optimierung'!$C$50)</f>
        <v>0</v>
      </c>
    </row>
    <row r="71" customFormat="false" ht="15" hidden="false" customHeight="false" outlineLevel="0" collapsed="false">
      <c r="B71" s="14" t="s">
        <v>298</v>
      </c>
      <c r="C71" s="31" t="n">
        <f aca="false">C67+C68</f>
        <v>3000</v>
      </c>
      <c r="D71" s="31" t="n">
        <f aca="false">D67+D68</f>
        <v>14516</v>
      </c>
      <c r="E71" s="31" t="n">
        <f aca="false">E67+E68</f>
        <v>14516</v>
      </c>
      <c r="F71" s="31" t="n">
        <f aca="false">F67+F68</f>
        <v>14516</v>
      </c>
    </row>
    <row r="72" customFormat="false" ht="15" hidden="false" customHeight="false" outlineLevel="0" collapsed="false">
      <c r="B72" s="14" t="s">
        <v>299</v>
      </c>
      <c r="C72" s="31" t="n">
        <f aca="false">C69+C70</f>
        <v>0</v>
      </c>
      <c r="D72" s="31" t="n">
        <f aca="false">D69+D70</f>
        <v>0</v>
      </c>
      <c r="E72" s="31" t="n">
        <f aca="false">E69+E70</f>
        <v>5884</v>
      </c>
      <c r="F72" s="31" t="n">
        <f aca="false">F69+F70</f>
        <v>5000</v>
      </c>
    </row>
    <row r="73" customFormat="false" ht="15" hidden="false" customHeight="false" outlineLevel="0" collapsed="false">
      <c r="B73" s="6" t="s">
        <v>300</v>
      </c>
      <c r="C73" s="33" t="n">
        <f aca="false">C71+C72</f>
        <v>3000</v>
      </c>
      <c r="D73" s="33" t="n">
        <f aca="false">D71+D72</f>
        <v>14516</v>
      </c>
      <c r="E73" s="33" t="n">
        <f aca="false">E71+E72</f>
        <v>20400</v>
      </c>
      <c r="F73" s="33" t="n">
        <f aca="false">F71+F72</f>
        <v>19516</v>
      </c>
    </row>
    <row r="74" customFormat="false" ht="15" hidden="false" customHeight="false" outlineLevel="0" collapsed="false">
      <c r="B74" s="14" t="s">
        <v>301</v>
      </c>
      <c r="C74" s="31" t="n">
        <f aca="false">C73-$C$73</f>
        <v>0</v>
      </c>
      <c r="D74" s="31" t="n">
        <f aca="false">D73-$C$73</f>
        <v>11516</v>
      </c>
      <c r="E74" s="31" t="n">
        <f aca="false">E73-$C$73</f>
        <v>17400</v>
      </c>
      <c r="F74" s="31" t="n">
        <f aca="false">F73-$C$73</f>
        <v>16516</v>
      </c>
    </row>
    <row r="75" customFormat="false" ht="15" hidden="false" customHeight="false" outlineLevel="0" collapsed="false">
      <c r="B75" s="6" t="s">
        <v>302</v>
      </c>
      <c r="C75" s="35" t="n">
        <f aca="false">MAX(0,$C$52-C73)</f>
        <v>177400</v>
      </c>
      <c r="D75" s="35" t="n">
        <f aca="false">MAX(0,$C$52-D73)</f>
        <v>165884</v>
      </c>
      <c r="E75" s="35" t="n">
        <f aca="false">MAX(0,$C$52-E73)</f>
        <v>160000</v>
      </c>
      <c r="F75" s="35" t="n">
        <f aca="false">MAX(0,$C$52-F73)</f>
        <v>160884</v>
      </c>
    </row>
    <row r="76" customFormat="false" ht="15" hidden="false" customHeight="false" outlineLevel="0" collapsed="false">
      <c r="B76" s="14" t="s">
        <v>303</v>
      </c>
      <c r="C76" s="31" t="n">
        <f aca="false">MAX(0,$D$52-C73)</f>
        <v>178100</v>
      </c>
      <c r="D76" s="31" t="n">
        <f aca="false">MAX(0,$D$52-D73)</f>
        <v>166584</v>
      </c>
      <c r="E76" s="31" t="n">
        <f aca="false">MAX(0,$D$52-E73)</f>
        <v>160700</v>
      </c>
      <c r="F76" s="31" t="n">
        <f aca="false">MAX(0,$D$52-F73)</f>
        <v>161584</v>
      </c>
    </row>
    <row r="77" customFormat="false" ht="15" hidden="false" customHeight="false" outlineLevel="0" collapsed="false">
      <c r="B77" s="14" t="s">
        <v>304</v>
      </c>
      <c r="C77" s="44" t="n">
        <f aca="false">C75-$C$57</f>
        <v>12400</v>
      </c>
      <c r="D77" s="44" t="n">
        <f aca="false">D75-$C$57</f>
        <v>884</v>
      </c>
      <c r="E77" s="44" t="n">
        <f aca="false">E75-$C$57</f>
        <v>-5000</v>
      </c>
      <c r="F77" s="44" t="n">
        <f aca="false">F75-$C$57</f>
        <v>-4116</v>
      </c>
    </row>
    <row r="78" customFormat="false" ht="15" hidden="false" customHeight="false" outlineLevel="0" collapsed="false">
      <c r="B78" s="14" t="s">
        <v>305</v>
      </c>
      <c r="C78" s="44" t="n">
        <f aca="false">C75-$C$62</f>
        <v>17400</v>
      </c>
      <c r="D78" s="44" t="n">
        <f aca="false">D75-$C$62</f>
        <v>5884</v>
      </c>
      <c r="E78" s="44" t="n">
        <f aca="false">E75-$C$62</f>
        <v>0</v>
      </c>
      <c r="F78" s="44" t="n">
        <f aca="false">F75-$C$62</f>
        <v>884</v>
      </c>
    </row>
    <row r="79" customFormat="false" ht="15" hidden="false" customHeight="false" outlineLevel="0" collapsed="false">
      <c r="B79" s="14" t="s">
        <v>24</v>
      </c>
      <c r="C79" s="17" t="str">
        <f aca="false">IF(C75&lt;=$C$62+0.5,"Ja","Nein")</f>
        <v>Nein</v>
      </c>
      <c r="D79" s="17" t="str">
        <f aca="false">IF(D75&lt;=$C$62+0.5,"Ja","Nein")</f>
        <v>Nein</v>
      </c>
      <c r="E79" s="17" t="str">
        <f aca="false">IF(E75&lt;=$C$62+0.5,"Ja","Nein")</f>
        <v>Ja</v>
      </c>
      <c r="F79" s="17" t="str">
        <f aca="false">IF(F75&lt;=$C$62+0.5,"Ja","Nein")</f>
        <v>Nein</v>
      </c>
    </row>
    <row r="80" customFormat="false" ht="15" hidden="false" customHeight="false" outlineLevel="0" collapsed="false">
      <c r="B80" s="14" t="s">
        <v>306</v>
      </c>
      <c r="C80" s="31" t="n">
        <f aca="false">IF('02 Eingaben'!$C$61="Bund",C76,C75)+N('02 Eingaben'!$C$62)</f>
        <v>177400</v>
      </c>
      <c r="D80" s="31" t="n">
        <f aca="false">IF('02 Eingaben'!$C$61="Bund",D76,D75)+N('02 Eingaben'!$C$62)</f>
        <v>165884</v>
      </c>
      <c r="E80" s="31" t="n">
        <f aca="false">IF('02 Eingaben'!$C$61="Bund",E76,E75)+N('02 Eingaben'!$C$62)</f>
        <v>160000</v>
      </c>
      <c r="F80" s="31" t="n">
        <f aca="false">IF('02 Eingaben'!$C$61="Bund",F76,F75)+N('02 Eingaben'!$C$62)</f>
        <v>160884</v>
      </c>
    </row>
    <row r="81" customFormat="false" ht="15" hidden="false" customHeight="false" outlineLevel="0" collapsed="false">
      <c r="B81" s="14" t="s">
        <v>31</v>
      </c>
      <c r="C81" s="46" t="n">
        <f aca="false">IF(COUNT('04 Mietmodell'!$C$8:$C$17)=0,0,SUMPRODUCT(('04 Mietmodell'!$C$8:$C$17&lt;&gt;"")*('04 Mietmodell'!$C$8:$C$17&lt;C80))+1)</f>
        <v>5</v>
      </c>
      <c r="D81" s="46" t="n">
        <f aca="false">IF(COUNT('04 Mietmodell'!$C$8:$C$17)=0,0,SUMPRODUCT(('04 Mietmodell'!$C$8:$C$17&lt;&gt;"")*('04 Mietmodell'!$C$8:$C$17&lt;D80))+1)</f>
        <v>5</v>
      </c>
      <c r="E81" s="46" t="n">
        <f aca="false">IF(COUNT('04 Mietmodell'!$C$8:$C$17)=0,0,SUMPRODUCT(('04 Mietmodell'!$C$8:$C$17&lt;&gt;"")*('04 Mietmodell'!$C$8:$C$17&lt;E80))+1)</f>
        <v>4</v>
      </c>
      <c r="F81" s="46" t="n">
        <f aca="false">IF(COUNT('04 Mietmodell'!$C$8:$C$17)=0,0,SUMPRODUCT(('04 Mietmodell'!$C$8:$C$17&lt;&gt;"")*('04 Mietmodell'!$C$8:$C$17&lt;F80))+1)</f>
        <v>5</v>
      </c>
    </row>
    <row r="82" customFormat="false" ht="15" hidden="false" customHeight="false" outlineLevel="0" collapsed="false">
      <c r="B82" s="14" t="s">
        <v>307</v>
      </c>
      <c r="C82" s="31" t="n">
        <f aca="false">IF(COUNT('04 Mietmodell'!$C$8:$C$17)=0,0,IF(C81&gt;COUNT('04 Mietmodell'!$C$8:$C$17),'04 Mietmodell'!$D$18,INDEX('04 Mietmodell'!$D$8:$D$17,C81)))</f>
        <v>2700</v>
      </c>
      <c r="D82" s="31" t="n">
        <f aca="false">IF(COUNT('04 Mietmodell'!$C$8:$C$17)=0,0,IF(D81&gt;COUNT('04 Mietmodell'!$C$8:$C$17),'04 Mietmodell'!$D$18,INDEX('04 Mietmodell'!$D$8:$D$17,D81)))</f>
        <v>2700</v>
      </c>
      <c r="E82" s="31" t="n">
        <f aca="false">IF(COUNT('04 Mietmodell'!$C$8:$C$17)=0,0,IF(E81&gt;COUNT('04 Mietmodell'!$C$8:$C$17),'04 Mietmodell'!$D$18,INDEX('04 Mietmodell'!$D$8:$D$17,E81)))</f>
        <v>2500</v>
      </c>
      <c r="F82" s="31" t="n">
        <f aca="false">IF(COUNT('04 Mietmodell'!$C$8:$C$17)=0,0,IF(F81&gt;COUNT('04 Mietmodell'!$C$8:$C$17),'04 Mietmodell'!$D$18,INDEX('04 Mietmodell'!$D$8:$D$17,F81)))</f>
        <v>2700</v>
      </c>
    </row>
    <row r="83" customFormat="false" ht="15" hidden="false" customHeight="false" outlineLevel="0" collapsed="false">
      <c r="B83" s="14" t="s">
        <v>32</v>
      </c>
      <c r="C83" s="31" t="n">
        <f aca="false">C82*12</f>
        <v>32400</v>
      </c>
      <c r="D83" s="31" t="n">
        <f aca="false">D82*12</f>
        <v>32400</v>
      </c>
      <c r="E83" s="31" t="n">
        <f aca="false">E82*12</f>
        <v>30000</v>
      </c>
      <c r="F83" s="31" t="n">
        <f aca="false">F82*12</f>
        <v>32400</v>
      </c>
    </row>
    <row r="84" customFormat="false" ht="27.75" hidden="false" customHeight="true" outlineLevel="0" collapsed="false">
      <c r="B84" s="14" t="s">
        <v>308</v>
      </c>
      <c r="C84" s="44" t="n">
        <f aca="false">C83-$C$83</f>
        <v>0</v>
      </c>
      <c r="D84" s="44" t="n">
        <f aca="false">D83-$C$83</f>
        <v>0</v>
      </c>
      <c r="E84" s="44" t="n">
        <f aca="false">E83-$C$83</f>
        <v>-2400</v>
      </c>
      <c r="F84" s="44" t="n">
        <f aca="false">F83-$C$83</f>
        <v>0</v>
      </c>
      <c r="G84" s="48"/>
    </row>
    <row r="85" customFormat="false" ht="15" hidden="false" customHeight="false" outlineLevel="0" collapsed="false">
      <c r="B85" s="14" t="s">
        <v>309</v>
      </c>
      <c r="C85" s="44" t="n">
        <f aca="false">IF($C$61=0,"n/a",C83-$C$61)</f>
        <v>2400</v>
      </c>
      <c r="D85" s="44" t="n">
        <f aca="false">IF($C$61=0,"n/a",D83-$C$61)</f>
        <v>2400</v>
      </c>
      <c r="E85" s="44" t="n">
        <f aca="false">IF($C$61=0,"n/a",E83-$C$61)</f>
        <v>0</v>
      </c>
      <c r="F85" s="44" t="n">
        <f aca="false">IF($C$61=0,"n/a",F83-$C$61)</f>
        <v>2400</v>
      </c>
    </row>
    <row r="86" customFormat="false" ht="22.35" hidden="false" customHeight="false" outlineLevel="0" collapsed="false">
      <c r="B86" s="14" t="s">
        <v>310</v>
      </c>
      <c r="C86" s="31" t="n">
        <f aca="false">$C$63*($C$75-C75)</f>
        <v>0</v>
      </c>
      <c r="D86" s="31" t="n">
        <f aca="false">$C$63*($C$75-D75)</f>
        <v>3224.48</v>
      </c>
      <c r="E86" s="31" t="n">
        <f aca="false">$C$63*($C$75-E75)</f>
        <v>4872</v>
      </c>
      <c r="F86" s="31" t="n">
        <f aca="false">$C$63*($C$75-F75)</f>
        <v>4624.48</v>
      </c>
      <c r="G86" s="28" t="s">
        <v>311</v>
      </c>
    </row>
    <row r="87" customFormat="false" ht="15" hidden="false" customHeight="false" outlineLevel="0" collapsed="false">
      <c r="B87" s="14" t="s">
        <v>312</v>
      </c>
      <c r="C87" s="31" t="n">
        <f aca="false">$C$63*($C$52-C75)</f>
        <v>840</v>
      </c>
      <c r="D87" s="31" t="n">
        <f aca="false">$C$63*($C$52-D75)</f>
        <v>4064.48</v>
      </c>
      <c r="E87" s="31" t="n">
        <f aca="false">$C$63*($C$52-E75)</f>
        <v>5712</v>
      </c>
      <c r="F87" s="31" t="n">
        <f aca="false">$C$63*($C$52-F75)</f>
        <v>5464.48</v>
      </c>
    </row>
    <row r="88" customFormat="false" ht="15" hidden="false" customHeight="false" outlineLevel="0" collapsed="false">
      <c r="B88" s="14" t="s">
        <v>313</v>
      </c>
      <c r="C88" s="31" t="n">
        <f aca="false">IF(AND($C$60&gt;0,$C$57&gt;0),MAX(0,$C$60+$C$63*(C75-$C$57)),"n/a")</f>
        <v>34472</v>
      </c>
      <c r="D88" s="31" t="n">
        <f aca="false">IF(AND($C$60&gt;0,$C$57&gt;0),MAX(0,$C$60+$C$63*(D75-$C$57)),"n/a")</f>
        <v>31247.52</v>
      </c>
      <c r="E88" s="31" t="n">
        <f aca="false">IF(AND($C$60&gt;0,$C$57&gt;0),MAX(0,$C$60+$C$63*(E75-$C$57)),"n/a")</f>
        <v>29600</v>
      </c>
      <c r="F88" s="31" t="n">
        <f aca="false">IF(AND($C$60&gt;0,$C$57&gt;0),MAX(0,$C$60+$C$63*(F75-$C$57)),"n/a")</f>
        <v>29847.52</v>
      </c>
      <c r="G88" s="28" t="s">
        <v>314</v>
      </c>
    </row>
    <row r="89" customFormat="false" ht="15" hidden="false" customHeight="false" outlineLevel="0" collapsed="false">
      <c r="B89" s="6" t="s">
        <v>315</v>
      </c>
      <c r="C89" s="35" t="n">
        <f aca="false">C86+($C$83-C83)</f>
        <v>0</v>
      </c>
      <c r="D89" s="35" t="n">
        <f aca="false">D86+($C$83-D83)</f>
        <v>3224.48</v>
      </c>
      <c r="E89" s="35" t="n">
        <f aca="false">E86+($C$83-E83)</f>
        <v>7272</v>
      </c>
      <c r="F89" s="35" t="n">
        <f aca="false">F86+($C$83-F83)</f>
        <v>4624.48</v>
      </c>
    </row>
    <row r="90" customFormat="false" ht="27.75" hidden="false" customHeight="true" outlineLevel="0" collapsed="false">
      <c r="B90" s="14" t="s">
        <v>316</v>
      </c>
      <c r="C90" s="31" t="n">
        <f aca="false">C74-C89</f>
        <v>0</v>
      </c>
      <c r="D90" s="31" t="n">
        <f aca="false">D74-D89</f>
        <v>8291.52</v>
      </c>
      <c r="E90" s="31" t="n">
        <f aca="false">E74-E89</f>
        <v>10128</v>
      </c>
      <c r="F90" s="31" t="n">
        <f aca="false">F74-F89</f>
        <v>11891.52</v>
      </c>
      <c r="G90" s="28" t="s">
        <v>317</v>
      </c>
    </row>
    <row r="92" customFormat="false" ht="18" hidden="false" customHeight="true" outlineLevel="0" collapsed="false">
      <c r="B92" s="4" t="s">
        <v>318</v>
      </c>
      <c r="C92" s="4"/>
      <c r="D92" s="4"/>
      <c r="E92" s="4"/>
      <c r="F92" s="4"/>
      <c r="G92" s="4"/>
    </row>
    <row r="93" customFormat="false" ht="30" hidden="false" customHeight="true" outlineLevel="0" collapsed="false">
      <c r="B93" s="5" t="s">
        <v>207</v>
      </c>
      <c r="C93" s="5" t="s">
        <v>155</v>
      </c>
      <c r="D93" s="5" t="s">
        <v>319</v>
      </c>
      <c r="E93" s="5" t="s">
        <v>320</v>
      </c>
      <c r="F93" s="5" t="s">
        <v>321</v>
      </c>
      <c r="G93" s="5" t="s">
        <v>322</v>
      </c>
    </row>
    <row r="94" customFormat="false" ht="27.75" hidden="false" customHeight="true" outlineLevel="0" collapsed="false">
      <c r="B94" s="14" t="s">
        <v>323</v>
      </c>
      <c r="C94" s="12" t="str">
        <f aca="false">IF(D94,"FEHLER","OK")</f>
        <v>OK</v>
      </c>
      <c r="D94" s="17" t="n">
        <f aca="false">OR($C$6=0,$C$7&gt;=28)</f>
        <v>0</v>
      </c>
      <c r="E94" s="18" t="n">
        <f aca="false">IF(C94="OK",0,1)</f>
        <v>0</v>
      </c>
      <c r="F94" s="18" t="str">
        <f aca="false">IF(E94=1,SUM($E$94:E94),"")</f>
        <v/>
      </c>
      <c r="G94" s="9" t="str">
        <f aca="false">IF(D94,"Für das Steuerjahr "&amp;$C$5&amp;" sind in 06 Grundlagen keine Werte hinterlegt (Spalten E–H, Zeile 8). Steuerliche Grundlagen passen nicht zum gewählten Jahr.","")</f>
        <v/>
      </c>
    </row>
    <row r="95" customFormat="false" ht="27.75" hidden="false" customHeight="true" outlineLevel="0" collapsed="false">
      <c r="B95" s="14" t="s">
        <v>324</v>
      </c>
      <c r="C95" s="12" t="str">
        <f aca="false">IF(D95,"WARNUNG","OK")</f>
        <v>OK</v>
      </c>
      <c r="D95" s="17" t="n">
        <f aca="false">AND($C$6&lt;&gt;0,$C$7&gt;0)</f>
        <v>0</v>
      </c>
      <c r="E95" s="18" t="n">
        <f aca="false">IF(C95="OK",0,1)</f>
        <v>0</v>
      </c>
      <c r="F95" s="18" t="str">
        <f aca="false">IF(E95=1,SUM($E$94:E95),"")</f>
        <v/>
      </c>
      <c r="G95" s="9" t="str">
        <f aca="false">IF(D95,$C$7&amp;" Parameter in 06 Grundlagen haben für "&amp;$C$5&amp;" keinen Wert und werden als 0 gerechnet.","")</f>
        <v/>
      </c>
    </row>
    <row r="96" customFormat="false" ht="27.75" hidden="false" customHeight="true" outlineLevel="0" collapsed="false">
      <c r="B96" s="14" t="s">
        <v>325</v>
      </c>
      <c r="C96" s="12" t="str">
        <f aca="false">IF(D96,"HINWEIS","OK")</f>
        <v>HINWEIS</v>
      </c>
      <c r="D96" s="17" t="n">
        <f aca="false">AND($C$6&lt;&gt;0,$C$8&gt;0)</f>
        <v>1</v>
      </c>
      <c r="E96" s="18" t="n">
        <f aca="false">IF(C96="OK",0,1)</f>
        <v>1</v>
      </c>
      <c r="F96" s="18" t="n">
        <f aca="false">IF(E96=1,SUM($E$94:E96),"")</f>
        <v>1</v>
      </c>
      <c r="G96" s="9" t="str">
        <f aca="false">IF(D96,$C$8&amp;" verwendete Parameter sind in 06 Grundlagen mit «prüfen»/«unsicher» markiert – bitte gegen die offizielle Wegleitung verifizieren.","")</f>
        <v>24 verwendete Parameter sind in 06 Grundlagen mit «prüfen»/«unsicher» markiert – bitte gegen die offizielle Wegleitung verifizieren.</v>
      </c>
    </row>
    <row r="97" customFormat="false" ht="27.75" hidden="false" customHeight="true" outlineLevel="0" collapsed="false">
      <c r="B97" s="14" t="s">
        <v>326</v>
      </c>
      <c r="C97" s="12" t="str">
        <f aca="false">IF(D97,"HINWEIS","OK")</f>
        <v>OK</v>
      </c>
      <c r="D97" s="17" t="n">
        <f aca="true">'02 Eingaben'!$C$7&lt;&gt;YEAR(TODAY())</f>
        <v>0</v>
      </c>
      <c r="E97" s="18" t="n">
        <f aca="false">IF(C97="OK",0,1)</f>
        <v>0</v>
      </c>
      <c r="F97" s="18" t="str">
        <f aca="false">IF(E97=1,SUM($E$94:E97),"")</f>
        <v/>
      </c>
      <c r="G97" s="9" t="str">
        <f aca="false">IF(D97,"Steuerjahr entspricht nicht dem aktuellen Kalenderjahr – sind Grundlagen und Eingaben bewusst für "&amp;$C$5&amp;" gewählt?","")</f>
        <v/>
      </c>
    </row>
    <row r="98" customFormat="false" ht="27.75" hidden="false" customHeight="true" outlineLevel="0" collapsed="false">
      <c r="B98" s="14" t="s">
        <v>54</v>
      </c>
      <c r="C98" s="12" t="str">
        <f aca="false">IF(D98,"WARNUNG","OK")</f>
        <v>OK</v>
      </c>
      <c r="D98" s="17" t="n">
        <f aca="false">'02 Eingaben'!$C$8&lt;&gt;"Verheiratet"</f>
        <v>0</v>
      </c>
      <c r="E98" s="18" t="n">
        <f aca="false">IF(C98="OK",0,1)</f>
        <v>0</v>
      </c>
      <c r="F98" s="18" t="str">
        <f aca="false">IF(E98=1,SUM($E$94:E98),"")</f>
        <v/>
      </c>
      <c r="G98" s="9" t="str">
        <f aca="false">IF(D98,"Das Modell ist für verheiratete, gemeinsam veranlagte Paare ausgelegt.","")</f>
        <v/>
      </c>
    </row>
    <row r="99" customFormat="false" ht="27.75" hidden="false" customHeight="true" outlineLevel="0" collapsed="false">
      <c r="B99" s="14" t="s">
        <v>327</v>
      </c>
      <c r="C99" s="12" t="str">
        <f aca="false">IF(D99,"WARNUNG","OK")</f>
        <v>OK</v>
      </c>
      <c r="D99" s="17" t="n">
        <f aca="false">'02 Eingaben'!$C$10&gt;'02 Eingaben'!$C$9</f>
        <v>0</v>
      </c>
      <c r="E99" s="18" t="n">
        <f aca="false">IF(C99="OK",0,1)</f>
        <v>0</v>
      </c>
      <c r="F99" s="18" t="str">
        <f aca="false">IF(E99=1,SUM($E$94:E99),"")</f>
        <v/>
      </c>
      <c r="G99" s="9" t="str">
        <f aca="false">IF(D99,"Anzahl Kinder mit Kinderabzug ist grösser als die Anzahl Kinder.","")</f>
        <v/>
      </c>
    </row>
    <row r="100" customFormat="false" ht="27.75" hidden="false" customHeight="true" outlineLevel="0" collapsed="false">
      <c r="B100" s="14" t="s">
        <v>328</v>
      </c>
      <c r="C100" s="12" t="str">
        <f aca="false">IF(D100,"WARNUNG","OK")</f>
        <v>OK</v>
      </c>
      <c r="D100" s="17" t="n">
        <f aca="false">N('02 Eingaben'!$C$15)=0</f>
        <v>0</v>
      </c>
      <c r="E100" s="18" t="n">
        <f aca="false">IF(C100="OK",0,1)</f>
        <v>0</v>
      </c>
      <c r="F100" s="18" t="str">
        <f aca="false">IF(E100=1,SUM($E$94:E100),"")</f>
        <v/>
      </c>
      <c r="G100" s="9" t="str">
        <f aca="false">IF(D100,"Bruttolohn Ehemann fehlt oder ist 0 – wesentliche Eingabe fehlt.","")</f>
        <v/>
      </c>
    </row>
    <row r="101" customFormat="false" ht="27.75" hidden="false" customHeight="true" outlineLevel="0" collapsed="false">
      <c r="B101" s="14" t="s">
        <v>329</v>
      </c>
      <c r="C101" s="12" t="str">
        <f aca="false">IF(D101,"HINWEIS","OK")</f>
        <v>OK</v>
      </c>
      <c r="D101" s="17" t="n">
        <f aca="false">N('02 Eingaben'!$D$15)=0</f>
        <v>0</v>
      </c>
      <c r="E101" s="18" t="n">
        <f aca="false">IF(C101="OK",0,1)</f>
        <v>0</v>
      </c>
      <c r="F101" s="18" t="str">
        <f aca="false">IF(E101=1,SUM($E$94:E101),"")</f>
        <v/>
      </c>
      <c r="G101" s="9" t="str">
        <f aca="false">IF(D101,"Bruttolohn Ehefrau ist 0/leer (falls nicht erwerbstätig, ignorieren: kein Zweiverdienerabzug).","")</f>
        <v/>
      </c>
    </row>
    <row r="102" customFormat="false" ht="27.75" hidden="false" customHeight="true" outlineLevel="0" collapsed="false">
      <c r="B102" s="14" t="s">
        <v>330</v>
      </c>
      <c r="C102" s="12" t="str">
        <f aca="false">IF(D102,"WARNUNG","OK")</f>
        <v>OK</v>
      </c>
      <c r="D102" s="17" t="n">
        <f aca="false">AND('02 Eingaben'!$C$55="Eigener Zielwert",N('02 Eingaben'!$C$56)=0)</f>
        <v>0</v>
      </c>
      <c r="E102" s="18" t="n">
        <f aca="false">IF(C102="OK",0,1)</f>
        <v>0</v>
      </c>
      <c r="F102" s="18" t="str">
        <f aca="false">IF(E102=1,SUM($E$94:E102),"")</f>
        <v/>
      </c>
      <c r="G102" s="9" t="str">
        <f aca="false">IF(D102,"Eigener Zielwert fehlt (02 Eingaben, Bereich 6).","")</f>
        <v/>
      </c>
    </row>
    <row r="103" customFormat="false" ht="27.75" hidden="false" customHeight="true" outlineLevel="0" collapsed="false">
      <c r="B103" s="14" t="s">
        <v>331</v>
      </c>
      <c r="C103" s="12" t="str">
        <f aca="false">IF(D103,"WARNUNG","OK")</f>
        <v>OK</v>
      </c>
      <c r="D103" s="17" t="n">
        <f aca="false">$C$57=0</f>
        <v>0</v>
      </c>
      <c r="E103" s="18" t="n">
        <f aca="false">IF(C103="OK",0,1)</f>
        <v>0</v>
      </c>
      <c r="F103" s="18" t="str">
        <f aca="false">IF(E103=1,SUM($E$94:E103),"")</f>
        <v/>
      </c>
      <c r="G103" s="9" t="str">
        <f aca="false">IF(D103,"Für das Referenzjahr "&amp;$C$55&amp;" ist in 07 Vorjahre kein steuerbares Einkommen erfasst (oder Jahr nicht gefunden).","")</f>
        <v/>
      </c>
    </row>
    <row r="104" customFormat="false" ht="27.75" hidden="false" customHeight="true" outlineLevel="0" collapsed="false">
      <c r="B104" s="14" t="s">
        <v>332</v>
      </c>
      <c r="C104" s="12" t="str">
        <f aca="false">IF(D104,"WARNUNG","OK")</f>
        <v>OK</v>
      </c>
      <c r="D104" s="17" t="n">
        <f aca="false">$C$55&gt;=$C$5</f>
        <v>0</v>
      </c>
      <c r="E104" s="18" t="n">
        <f aca="false">IF(C104="OK",0,1)</f>
        <v>0</v>
      </c>
      <c r="F104" s="18" t="str">
        <f aca="false">IF(E104=1,SUM($E$94:E104),"")</f>
        <v/>
      </c>
      <c r="G104" s="9" t="str">
        <f aca="false">IF(D104,"Referenzjahr muss vor dem Steuerjahr liegen.","")</f>
        <v/>
      </c>
    </row>
    <row r="105" customFormat="false" ht="27.75" hidden="false" customHeight="true" outlineLevel="0" collapsed="false">
      <c r="B105" s="14" t="s">
        <v>333</v>
      </c>
      <c r="C105" s="12" t="str">
        <f aca="false">IF(D105,"WARNUNG","OK")</f>
        <v>OK</v>
      </c>
      <c r="D105" s="17" t="n">
        <f aca="false">$C$63&lt;=0</f>
        <v>0</v>
      </c>
      <c r="E105" s="18" t="n">
        <f aca="false">IF(C105="OK",0,1)</f>
        <v>0</v>
      </c>
      <c r="F105" s="18" t="str">
        <f aca="false">IF(E105=1,SUM($E$94:E105),"")</f>
        <v/>
      </c>
      <c r="G105" s="9" t="str">
        <f aca="false">IF(D105,"Grenzsteuersatz fehlt – Steuerersparnisse können nicht geschätzt werden.","")</f>
        <v/>
      </c>
    </row>
    <row r="106" customFormat="false" ht="27.75" hidden="false" customHeight="true" outlineLevel="0" collapsed="false">
      <c r="B106" s="14" t="s">
        <v>334</v>
      </c>
      <c r="C106" s="12" t="str">
        <f aca="false">IF(D106,"HINWEIS","OK")</f>
        <v>OK</v>
      </c>
      <c r="D106" s="17" t="n">
        <f aca="false">'02 Eingaben'!$C$33=""</f>
        <v>0</v>
      </c>
      <c r="E106" s="18" t="n">
        <f aca="false">IF(C106="OK",0,1)</f>
        <v>0</v>
      </c>
      <c r="F106" s="18" t="str">
        <f aca="false">IF(E106=1,SUM($E$94:E106),"")</f>
        <v/>
      </c>
      <c r="G106" s="9" t="str">
        <f aca="false">IF(D106,"Effektive Versicherungsprämien fehlen – Maximalabzug wird angenommen.","")</f>
        <v/>
      </c>
    </row>
    <row r="107" customFormat="false" ht="27.75" hidden="false" customHeight="true" outlineLevel="0" collapsed="false">
      <c r="B107" s="14" t="s">
        <v>335</v>
      </c>
      <c r="C107" s="12" t="str">
        <f aca="false">IF(D107,"FEHLER","OK")</f>
        <v>OK</v>
      </c>
      <c r="D107" s="17" t="n">
        <f aca="false">OR(COUNT('04 Mietmodell'!$C$8:$C$17)=0,(COUNTIF('04 Mietmodell'!$F$8:$F$17,"nicht aufsteigend")+COUNTIF('04 Mietmodell'!$F$8:$F$17,"Lücke")+COUNTIF('04 Mietmodell'!$F$8:$F$17,"unvollständig"))&gt;0,'04 Mietmodell'!$D$18="")</f>
        <v>0</v>
      </c>
      <c r="E107" s="18" t="n">
        <f aca="false">IF(C107="OK",0,1)</f>
        <v>0</v>
      </c>
      <c r="F107" s="18" t="str">
        <f aca="false">IF(E107=1,SUM($E$94:E107),"")</f>
        <v/>
      </c>
      <c r="G107" s="9" t="str">
        <f aca="false">IF(D107,"Mietmodell unvollständig, Stufen nicht aufsteigend/lückenhaft oder «Darüber» fehlt (04 Mietmodell).","")</f>
        <v/>
      </c>
    </row>
    <row r="108" customFormat="false" ht="27.75" hidden="false" customHeight="true" outlineLevel="0" collapsed="false">
      <c r="B108" s="14" t="s">
        <v>336</v>
      </c>
      <c r="C108" s="12" t="str">
        <f aca="false">IF(D108,"FEHLER","OK")</f>
        <v>OK</v>
      </c>
      <c r="D108" s="17" t="n">
        <f aca="false">'03 Optimierung'!$C$20&lt;&gt;"OK"</f>
        <v>0</v>
      </c>
      <c r="E108" s="18" t="n">
        <f aca="false">IF(C108="OK",0,1)</f>
        <v>0</v>
      </c>
      <c r="F108" s="18" t="str">
        <f aca="false">IF(E108=1,SUM($E$94:E108),"")</f>
        <v/>
      </c>
      <c r="G108" s="9" t="str">
        <f aca="false">IF(D108,"Prioritäten in 03 Optimierung müssen die Zahlen 1–4 je genau einmal enthalten.","")</f>
        <v/>
      </c>
    </row>
    <row r="109" customFormat="false" ht="27.75" hidden="false" customHeight="true" outlineLevel="0" collapsed="false">
      <c r="B109" s="14" t="s">
        <v>337</v>
      </c>
      <c r="C109" s="12" t="str">
        <f aca="false">IF(D109,"FEHLER","OK")</f>
        <v>OK</v>
      </c>
      <c r="D109" s="17" t="n">
        <f aca="false">MIN($C$15:$D$15,$C$19:$D$19,'03 Optimierung'!$C$47:$C$50)&lt;0</f>
        <v>0</v>
      </c>
      <c r="E109" s="18" t="n">
        <f aca="false">IF(C109="OK",0,1)</f>
        <v>0</v>
      </c>
      <c r="F109" s="18" t="str">
        <f aca="false">IF(E109=1,SUM($E$94:E109),"")</f>
        <v/>
      </c>
      <c r="G109" s="9" t="str">
        <f aca="false">IF(D109,"Negative 3a- oder PK-Beträge erfasst (Eingaben oder Szenario D).","")</f>
        <v/>
      </c>
    </row>
    <row r="110" customFormat="false" ht="27.75" hidden="false" customHeight="true" outlineLevel="0" collapsed="false">
      <c r="B110" s="14" t="s">
        <v>338</v>
      </c>
      <c r="C110" s="12" t="str">
        <f aca="false">IF(D110,"WARNUNG","OK")</f>
        <v>OK</v>
      </c>
      <c r="D110" s="17" t="n">
        <f aca="false">OR($C$15&gt;$C$14+0.5,$D$15&gt;$D$14+0.5)</f>
        <v>0</v>
      </c>
      <c r="E110" s="18" t="n">
        <f aca="false">IF(C110="OK",0,1)</f>
        <v>0</v>
      </c>
      <c r="F110" s="18" t="str">
        <f aca="false">IF(E110=1,SUM($E$94:E110),"")</f>
        <v/>
      </c>
      <c r="G110" s="9" t="str">
        <f aca="false">IF(D110,"Bereits geplante 3a-Einzahlungen überschreiten das Maximum (Ehemann "&amp;FIXED($C$15,0)&amp;" / max. "&amp;FIXED($C$14,0)&amp;"; Ehefrau "&amp;FIXED($D$15,0)&amp;" / max. "&amp;FIXED($D$14,0)&amp;").","")</f>
        <v/>
      </c>
    </row>
    <row r="111" customFormat="false" ht="27.75" hidden="false" customHeight="true" outlineLevel="0" collapsed="false">
      <c r="B111" s="14" t="s">
        <v>339</v>
      </c>
      <c r="C111" s="12" t="str">
        <f aca="false">IF(D111,"WARNUNG","OK")</f>
        <v>OK</v>
      </c>
      <c r="D111" s="17" t="n">
        <f aca="false">OR($F$67&gt;$C$14+0.5,$F$68&gt;$D$14+0.5)</f>
        <v>0</v>
      </c>
      <c r="E111" s="18" t="n">
        <f aca="false">IF(C111="OK",0,1)</f>
        <v>0</v>
      </c>
      <c r="F111" s="18" t="str">
        <f aca="false">IF(E111=1,SUM($E$94:E111),"")</f>
        <v/>
      </c>
      <c r="G111" s="9" t="str">
        <f aca="false">IF(D111,"Szenario D: 3a-Einzahlung über dem zulässigen Maximum.","")</f>
        <v/>
      </c>
    </row>
    <row r="112" customFormat="false" ht="27.75" hidden="false" customHeight="true" outlineLevel="0" collapsed="false">
      <c r="B112" s="14" t="s">
        <v>340</v>
      </c>
      <c r="C112" s="12" t="str">
        <f aca="false">IF(D112,"WARNUNG","OK")</f>
        <v>OK</v>
      </c>
      <c r="D112" s="17" t="n">
        <f aca="false">OR(AND($C$17=1,MAX($E$69,$F$69)&gt;$C$18+0.5),AND($D$17=1,MAX($E$70,$F$70)&gt;$D$18+0.5))</f>
        <v>0</v>
      </c>
      <c r="E112" s="18" t="n">
        <f aca="false">IF(C112="OK",0,1)</f>
        <v>0</v>
      </c>
      <c r="F112" s="18" t="str">
        <f aca="false">IF(E112=1,SUM($E$94:E112),"")</f>
        <v/>
      </c>
      <c r="G112" s="9" t="str">
        <f aca="false">IF(D112,"PK-Einkauf übersteigt das Einkaufspotenzial lt. Vorsorgeausweis – tatsächlich nicht möglich.","")</f>
        <v/>
      </c>
    </row>
    <row r="113" customFormat="false" ht="27.75" hidden="false" customHeight="true" outlineLevel="0" collapsed="false">
      <c r="B113" s="14" t="s">
        <v>341</v>
      </c>
      <c r="C113" s="12" t="str">
        <f aca="false">IF(D113,"WARNUNG","OK")</f>
        <v>OK</v>
      </c>
      <c r="D113" s="17" t="n">
        <f aca="false">OR(AND($C$17=0,MAX($E$69,$F$69)&gt;0),AND($D$17=0,MAX($E$70,$F$70)&gt;0))</f>
        <v>0</v>
      </c>
      <c r="E113" s="18" t="n">
        <f aca="false">IF(C113="OK",0,1)</f>
        <v>0</v>
      </c>
      <c r="F113" s="18" t="str">
        <f aca="false">IF(E113=1,SUM($E$94:E113),"")</f>
        <v/>
      </c>
      <c r="G113" s="9" t="str">
        <f aca="false">IF(D113,"PK-Einkauf wird simuliert, aber das Einkaufspotenzial lt. Vorsorgeausweis ist nicht erfasst – bitte Vorsorgeausweis prüfen.","")</f>
        <v/>
      </c>
    </row>
    <row r="114" customFormat="false" ht="27.75" hidden="false" customHeight="true" outlineLevel="0" collapsed="false">
      <c r="B114" s="14" t="s">
        <v>342</v>
      </c>
      <c r="C114" s="12" t="str">
        <f aca="false">IF(D114,"HINWEIS","OK")</f>
        <v>OK</v>
      </c>
      <c r="D114" s="17" t="n">
        <f aca="false">'03 Optimierung'!$C$10&lt;=0</f>
        <v>0</v>
      </c>
      <c r="E114" s="18" t="n">
        <f aca="false">IF(C114="OK",0,1)</f>
        <v>0</v>
      </c>
      <c r="F114" s="18" t="str">
        <f aca="false">IF(E114=1,SUM($E$94:E114),"")</f>
        <v/>
      </c>
      <c r="G114" s="9" t="str">
        <f aca="false">IF(D114,"Der Zielwert ist bereits ohne weitere Einzahlung erreicht (Szenario A).","")</f>
        <v/>
      </c>
    </row>
    <row r="115" customFormat="false" ht="27.75" hidden="false" customHeight="true" outlineLevel="0" collapsed="false">
      <c r="B115" s="14" t="s">
        <v>343</v>
      </c>
      <c r="C115" s="12" t="str">
        <f aca="false">IF(D115,"WARNUNG","OK")</f>
        <v>OK</v>
      </c>
      <c r="D115" s="17" t="n">
        <f aca="false">'03 Optimierung'!$G$27&gt;0.5</f>
        <v>0</v>
      </c>
      <c r="E115" s="18" t="n">
        <f aca="false">IF(C115="OK",0,1)</f>
        <v>0</v>
      </c>
      <c r="F115" s="18" t="str">
        <f aca="false">IF(E115=1,SUM($E$94:E115),"")</f>
        <v/>
      </c>
      <c r="G115" s="9" t="str">
        <f aca="false">IF(D115,"Zielwert kann mit dem verfügbaren 3a-/PK-Potenzial nicht erreicht werden; Rest CHF "&amp;FIXED('03 Optimierung'!$G$27,0)&amp;".","")</f>
        <v/>
      </c>
    </row>
    <row r="116" customFormat="false" ht="27.75" hidden="false" customHeight="true" outlineLevel="0" collapsed="false">
      <c r="B116" s="14" t="s">
        <v>344</v>
      </c>
      <c r="C116" s="12" t="str">
        <f aca="false">IF(D116,"WARNUNG","OK")</f>
        <v>OK</v>
      </c>
      <c r="D116" s="17" t="n">
        <f aca="false">('03 Optimierung'!$D$35+'03 Optimierung'!$D$36)&gt;'02 Eingaben'!$C$64</f>
        <v>0</v>
      </c>
      <c r="E116" s="18" t="n">
        <f aca="false">IF(C116="OK",0,1)</f>
        <v>0</v>
      </c>
      <c r="F116" s="18" t="str">
        <f aca="false">IF(E116=1,SUM($E$94:E116),"")</f>
        <v/>
      </c>
      <c r="G116" s="9" t="str">
        <f aca="false">IF(D116,"Der notwendige zusätzliche PK-Einkauf (CHF "&amp;FIXED('03 Optimierung'!$D$35+'03 Optimierung'!$D$36,0)&amp;") liegt über der Warnschwelle.","")</f>
        <v/>
      </c>
    </row>
    <row r="118" customFormat="false" ht="15" hidden="false" customHeight="false" outlineLevel="0" collapsed="false">
      <c r="B118" s="6" t="s">
        <v>345</v>
      </c>
      <c r="C118" s="46" t="n">
        <f aca="false">COUNTIF($C$94:$C$116,"FEHLER")</f>
        <v>0</v>
      </c>
    </row>
    <row r="119" customFormat="false" ht="15" hidden="false" customHeight="false" outlineLevel="0" collapsed="false">
      <c r="B119" s="6" t="s">
        <v>346</v>
      </c>
      <c r="C119" s="46" t="n">
        <f aca="false">COUNTIF($C$94:$C$116,"WARNUNG")</f>
        <v>0</v>
      </c>
    </row>
    <row r="120" customFormat="false" ht="15" hidden="false" customHeight="false" outlineLevel="0" collapsed="false">
      <c r="B120" s="6" t="s">
        <v>347</v>
      </c>
      <c r="C120" s="46" t="n">
        <f aca="false">COUNTIF($C$94:$C$116,"HINWEIS")</f>
        <v>1</v>
      </c>
    </row>
  </sheetData>
  <sheetProtection sheet="true" formatCells="false" formatColumns="false" formatRows="false"/>
  <conditionalFormatting sqref="C94:C116">
    <cfRule type="cellIs" priority="2" operator="equal" aboveAverage="0" equalAverage="0" bottom="0" percent="0" rank="0" text="" dxfId="2">
      <formula>"OK"</formula>
    </cfRule>
    <cfRule type="cellIs" priority="3" operator="equal" aboveAverage="0" equalAverage="0" bottom="0" percent="0" rank="0" text="" dxfId="4">
      <formula>"WARNUNG"</formula>
    </cfRule>
    <cfRule type="cellIs" priority="4" operator="equal" aboveAverage="0" equalAverage="0" bottom="0" percent="0" rank="0" text="" dxfId="3">
      <formula>"FEHLER"</formula>
    </cfRule>
    <cfRule type="cellIs" priority="5" operator="equal" aboveAverage="0" equalAverage="0" bottom="0" percent="0" rank="0" text="" dxfId="5">
      <formula>"HINWEIS"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9" min="5" style="0" width="13"/>
    <col collapsed="false" customWidth="true" hidden="false" outlineLevel="0" max="11" min="10" style="0" width="62"/>
    <col collapsed="false" customWidth="true" hidden="false" outlineLevel="0" max="12" min="12" style="0" width="9"/>
  </cols>
  <sheetData>
    <row r="1" customFormat="false" ht="24" hidden="false" customHeight="true" outlineLevel="0" collapsed="false">
      <c r="B1" s="1" t="s">
        <v>348</v>
      </c>
    </row>
    <row r="2" customFormat="false" ht="15" hidden="false" customHeight="false" outlineLevel="0" collapsed="false">
      <c r="B2" s="2" t="s">
        <v>349</v>
      </c>
    </row>
    <row r="4" customFormat="false" ht="15" hidden="false" customHeight="true" outlineLevel="0" collapsed="false">
      <c r="B4" s="6" t="s">
        <v>350</v>
      </c>
      <c r="C4" s="24" t="s">
        <v>351</v>
      </c>
      <c r="J4" s="43" t="s">
        <v>352</v>
      </c>
      <c r="K4" s="43"/>
    </row>
    <row r="5" customFormat="false" ht="23.85" hidden="false" customHeight="false" outlineLevel="0" collapsed="false">
      <c r="B5" s="6" t="s">
        <v>353</v>
      </c>
      <c r="C5" s="18" t="n">
        <f aca="false">IFERROR(MATCH('02 Eingaben'!$C$7,$E$8:$H$8,0),0)</f>
        <v>2</v>
      </c>
      <c r="D5" s="49" t="s">
        <v>354</v>
      </c>
      <c r="H5" s="18" t="n">
        <f aca="false">'02 Eingaben'!$C$7</f>
        <v>2026</v>
      </c>
      <c r="J5" s="43"/>
      <c r="K5" s="43"/>
    </row>
    <row r="8" customFormat="false" ht="31.5" hidden="false" customHeight="true" outlineLevel="0" collapsed="false">
      <c r="B8" s="5" t="s">
        <v>355</v>
      </c>
      <c r="C8" s="5" t="s">
        <v>356</v>
      </c>
      <c r="D8" s="5" t="s">
        <v>357</v>
      </c>
      <c r="E8" s="50" t="n">
        <v>2025</v>
      </c>
      <c r="F8" s="50" t="n">
        <v>2026</v>
      </c>
      <c r="G8" s="50" t="n">
        <v>2027</v>
      </c>
      <c r="H8" s="50" t="n">
        <v>2028</v>
      </c>
      <c r="I8" s="5" t="s">
        <v>155</v>
      </c>
      <c r="J8" s="5" t="s">
        <v>358</v>
      </c>
      <c r="K8" s="5" t="s">
        <v>359</v>
      </c>
      <c r="L8" s="5" t="s">
        <v>360</v>
      </c>
    </row>
    <row r="9" customFormat="false" ht="15" hidden="false" customHeight="false" outlineLevel="0" collapsed="false">
      <c r="B9" s="51" t="s">
        <v>361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0" customFormat="false" ht="37.5" hidden="false" customHeight="true" outlineLevel="0" collapsed="false">
      <c r="B10" s="14" t="s">
        <v>362</v>
      </c>
      <c r="C10" s="53" t="s">
        <v>268</v>
      </c>
      <c r="D10" s="54" t="n">
        <f aca="false">IF($C$5=0,0,IF(INDEX(E10:H10,$C$5)="",0,INDEX(E10:H10,$C$5)))</f>
        <v>7258</v>
      </c>
      <c r="E10" s="29" t="n">
        <v>7258</v>
      </c>
      <c r="F10" s="29" t="n">
        <v>7258</v>
      </c>
      <c r="G10" s="29"/>
      <c r="H10" s="29"/>
      <c r="I10" s="55" t="s">
        <v>363</v>
      </c>
      <c r="J10" s="28" t="s">
        <v>364</v>
      </c>
      <c r="K10" s="28" t="s">
        <v>365</v>
      </c>
      <c r="L10" s="18" t="n">
        <f aca="false">IF($C$5=0,0,IF(INDEX(E10:H10,$C$5)="",0,1))</f>
        <v>1</v>
      </c>
    </row>
    <row r="11" customFormat="false" ht="37.5" hidden="false" customHeight="true" outlineLevel="0" collapsed="false">
      <c r="B11" s="14" t="s">
        <v>366</v>
      </c>
      <c r="C11" s="53" t="s">
        <v>268</v>
      </c>
      <c r="D11" s="54" t="n">
        <f aca="false">IF($C$5=0,0,IF(INDEX(E11:H11,$C$5)="",0,INDEX(E11:H11,$C$5)))</f>
        <v>36288</v>
      </c>
      <c r="E11" s="29" t="n">
        <v>36288</v>
      </c>
      <c r="F11" s="29" t="n">
        <v>36288</v>
      </c>
      <c r="G11" s="29"/>
      <c r="H11" s="29"/>
      <c r="I11" s="55" t="s">
        <v>363</v>
      </c>
      <c r="J11" s="28" t="s">
        <v>364</v>
      </c>
      <c r="K11" s="28" t="s">
        <v>367</v>
      </c>
      <c r="L11" s="18" t="n">
        <f aca="false">IF($C$5=0,0,IF(INDEX(E11:H11,$C$5)="",0,1))</f>
        <v>1</v>
      </c>
    </row>
    <row r="12" customFormat="false" ht="37.5" hidden="false" customHeight="true" outlineLevel="0" collapsed="false">
      <c r="B12" s="14" t="s">
        <v>368</v>
      </c>
      <c r="C12" s="53" t="s">
        <v>268</v>
      </c>
      <c r="D12" s="56" t="n">
        <f aca="false">IF($C$5=0,0,IF(INDEX(E12:H12,$C$5)="",0,INDEX(E12:H12,$C$5)))</f>
        <v>0.2</v>
      </c>
      <c r="E12" s="36" t="n">
        <v>0.2</v>
      </c>
      <c r="F12" s="36" t="n">
        <v>0.2</v>
      </c>
      <c r="G12" s="36"/>
      <c r="H12" s="36"/>
      <c r="I12" s="55" t="s">
        <v>363</v>
      </c>
      <c r="J12" s="28" t="s">
        <v>364</v>
      </c>
      <c r="K12" s="28" t="s">
        <v>369</v>
      </c>
      <c r="L12" s="18" t="n">
        <f aca="false">IF($C$5=0,0,IF(INDEX(E12:H12,$C$5)="",0,1))</f>
        <v>1</v>
      </c>
    </row>
    <row r="13" customFormat="false" ht="15" hidden="false" customHeight="false" outlineLevel="0" collapsed="false">
      <c r="B13" s="51" t="s">
        <v>370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customFormat="false" ht="37.5" hidden="false" customHeight="true" outlineLevel="0" collapsed="false">
      <c r="B14" s="14" t="s">
        <v>371</v>
      </c>
      <c r="C14" s="53" t="s">
        <v>372</v>
      </c>
      <c r="D14" s="54" t="n">
        <f aca="false">IF($C$5=0,0,IF(INDEX(E14:H14,$C$5)="",0,INDEX(E14:H14,$C$5)))</f>
        <v>9400</v>
      </c>
      <c r="E14" s="29" t="n">
        <v>9000</v>
      </c>
      <c r="F14" s="29" t="n">
        <v>9400</v>
      </c>
      <c r="G14" s="29"/>
      <c r="H14" s="29"/>
      <c r="I14" s="57" t="s">
        <v>373</v>
      </c>
      <c r="J14" s="28" t="s">
        <v>374</v>
      </c>
      <c r="K14" s="28" t="s">
        <v>375</v>
      </c>
      <c r="L14" s="18" t="n">
        <f aca="false">IF($C$5=0,0,IF(INDEX(E14:H14,$C$5)="",0,1))</f>
        <v>1</v>
      </c>
    </row>
    <row r="15" customFormat="false" ht="37.5" hidden="false" customHeight="true" outlineLevel="0" collapsed="false">
      <c r="B15" s="14" t="s">
        <v>376</v>
      </c>
      <c r="C15" s="53" t="s">
        <v>372</v>
      </c>
      <c r="D15" s="54" t="n">
        <f aca="false">IF($C$5=0,0,IF(INDEX(E15:H15,$C$5)="",0,INDEX(E15:H15,$C$5)))</f>
        <v>5800</v>
      </c>
      <c r="E15" s="29" t="n">
        <v>5800</v>
      </c>
      <c r="F15" s="29" t="n">
        <v>5800</v>
      </c>
      <c r="G15" s="29"/>
      <c r="H15" s="29"/>
      <c r="I15" s="57" t="s">
        <v>373</v>
      </c>
      <c r="J15" s="28" t="s">
        <v>377</v>
      </c>
      <c r="K15" s="28" t="s">
        <v>378</v>
      </c>
      <c r="L15" s="18" t="n">
        <f aca="false">IF($C$5=0,0,IF(INDEX(E15:H15,$C$5)="",0,1))</f>
        <v>1</v>
      </c>
    </row>
    <row r="16" customFormat="false" ht="37.5" hidden="false" customHeight="true" outlineLevel="0" collapsed="false">
      <c r="B16" s="14" t="s">
        <v>379</v>
      </c>
      <c r="C16" s="53" t="s">
        <v>372</v>
      </c>
      <c r="D16" s="54" t="n">
        <f aca="false">IF($C$5=0,0,IF(INDEX(E16:H16,$C$5)="",0,INDEX(E16:H16,$C$5)))</f>
        <v>1300</v>
      </c>
      <c r="E16" s="29" t="n">
        <v>1300</v>
      </c>
      <c r="F16" s="29" t="n">
        <v>1300</v>
      </c>
      <c r="G16" s="29"/>
      <c r="H16" s="29"/>
      <c r="I16" s="55" t="s">
        <v>363</v>
      </c>
      <c r="J16" s="28" t="s">
        <v>377</v>
      </c>
      <c r="K16" s="28" t="s">
        <v>380</v>
      </c>
      <c r="L16" s="18" t="n">
        <f aca="false">IF($C$5=0,0,IF(INDEX(E16:H16,$C$5)="",0,1))</f>
        <v>1</v>
      </c>
    </row>
    <row r="17" customFormat="false" ht="37.5" hidden="false" customHeight="true" outlineLevel="0" collapsed="false">
      <c r="B17" s="14" t="s">
        <v>381</v>
      </c>
      <c r="C17" s="53" t="s">
        <v>372</v>
      </c>
      <c r="D17" s="56" t="n">
        <f aca="false">IF($C$5=0,0,IF(INDEX(E17:H17,$C$5)="",0,INDEX(E17:H17,$C$5)))</f>
        <v>0.5</v>
      </c>
      <c r="E17" s="36" t="n">
        <v>0.5</v>
      </c>
      <c r="F17" s="36" t="n">
        <v>0.5</v>
      </c>
      <c r="G17" s="36"/>
      <c r="H17" s="36"/>
      <c r="I17" s="58" t="s">
        <v>382</v>
      </c>
      <c r="J17" s="28" t="s">
        <v>377</v>
      </c>
      <c r="K17" s="28" t="s">
        <v>383</v>
      </c>
      <c r="L17" s="18" t="n">
        <f aca="false">IF($C$5=0,0,IF(INDEX(E17:H17,$C$5)="",0,1))</f>
        <v>1</v>
      </c>
    </row>
    <row r="18" customFormat="false" ht="37.5" hidden="false" customHeight="true" outlineLevel="0" collapsed="false">
      <c r="B18" s="14" t="s">
        <v>384</v>
      </c>
      <c r="C18" s="53" t="s">
        <v>372</v>
      </c>
      <c r="D18" s="54" t="n">
        <f aca="false">IF($C$5=0,0,IF(INDEX(E18:H18,$C$5)="",0,INDEX(E18:H18,$C$5)))</f>
        <v>0</v>
      </c>
      <c r="E18" s="29" t="n">
        <v>0</v>
      </c>
      <c r="F18" s="29" t="n">
        <v>0</v>
      </c>
      <c r="G18" s="29"/>
      <c r="H18" s="29"/>
      <c r="I18" s="58" t="s">
        <v>382</v>
      </c>
      <c r="J18" s="28" t="s">
        <v>377</v>
      </c>
      <c r="K18" s="28" t="s">
        <v>385</v>
      </c>
      <c r="L18" s="18" t="n">
        <f aca="false">IF($C$5=0,0,IF(INDEX(E18:H18,$C$5)="",0,1))</f>
        <v>1</v>
      </c>
    </row>
    <row r="19" customFormat="false" ht="37.5" hidden="false" customHeight="true" outlineLevel="0" collapsed="false">
      <c r="B19" s="14" t="s">
        <v>386</v>
      </c>
      <c r="C19" s="53" t="s">
        <v>372</v>
      </c>
      <c r="D19" s="54" t="n">
        <f aca="false">IF($C$5=0,0,IF(INDEX(E19:H19,$C$5)="",0,INDEX(E19:H19,$C$5)))</f>
        <v>5900</v>
      </c>
      <c r="E19" s="29" t="n">
        <v>5900</v>
      </c>
      <c r="F19" s="29" t="n">
        <v>5900</v>
      </c>
      <c r="G19" s="29"/>
      <c r="H19" s="29"/>
      <c r="I19" s="58" t="s">
        <v>382</v>
      </c>
      <c r="J19" s="28" t="s">
        <v>377</v>
      </c>
      <c r="K19" s="28" t="s">
        <v>387</v>
      </c>
      <c r="L19" s="18" t="n">
        <f aca="false">IF($C$5=0,0,IF(INDEX(E19:H19,$C$5)="",0,1))</f>
        <v>1</v>
      </c>
    </row>
    <row r="20" customFormat="false" ht="37.5" hidden="false" customHeight="true" outlineLevel="0" collapsed="false">
      <c r="B20" s="14" t="s">
        <v>388</v>
      </c>
      <c r="C20" s="53" t="s">
        <v>372</v>
      </c>
      <c r="D20" s="54" t="n">
        <f aca="false">IF($C$5=0,0,IF(INDEX(E20:H20,$C$5)="",0,INDEX(E20:H20,$C$5)))</f>
        <v>5200</v>
      </c>
      <c r="E20" s="29" t="n">
        <v>5200</v>
      </c>
      <c r="F20" s="29" t="n">
        <v>5200</v>
      </c>
      <c r="G20" s="29"/>
      <c r="H20" s="29"/>
      <c r="I20" s="57" t="s">
        <v>373</v>
      </c>
      <c r="J20" s="28" t="s">
        <v>389</v>
      </c>
      <c r="K20" s="28" t="s">
        <v>390</v>
      </c>
      <c r="L20" s="18" t="n">
        <f aca="false">IF($C$5=0,0,IF(INDEX(E20:H20,$C$5)="",0,1))</f>
        <v>1</v>
      </c>
    </row>
    <row r="21" customFormat="false" ht="37.5" hidden="false" customHeight="true" outlineLevel="0" collapsed="false">
      <c r="B21" s="14" t="s">
        <v>391</v>
      </c>
      <c r="C21" s="53" t="s">
        <v>372</v>
      </c>
      <c r="D21" s="54" t="n">
        <f aca="false">IF($C$5=0,0,IF(INDEX(E21:H21,$C$5)="",0,INDEX(E21:H21,$C$5)))</f>
        <v>15</v>
      </c>
      <c r="E21" s="29" t="n">
        <v>15</v>
      </c>
      <c r="F21" s="29" t="n">
        <v>15</v>
      </c>
      <c r="G21" s="29"/>
      <c r="H21" s="29"/>
      <c r="I21" s="57" t="s">
        <v>373</v>
      </c>
      <c r="J21" s="28" t="s">
        <v>389</v>
      </c>
      <c r="K21" s="28" t="s">
        <v>392</v>
      </c>
      <c r="L21" s="18" t="n">
        <f aca="false">IF($C$5=0,0,IF(INDEX(E21:H21,$C$5)="",0,1))</f>
        <v>1</v>
      </c>
    </row>
    <row r="22" customFormat="false" ht="37.5" hidden="false" customHeight="true" outlineLevel="0" collapsed="false">
      <c r="B22" s="14" t="s">
        <v>393</v>
      </c>
      <c r="C22" s="53" t="s">
        <v>372</v>
      </c>
      <c r="D22" s="54" t="n">
        <f aca="false">IF($C$5=0,0,IF(INDEX(E22:H22,$C$5)="",0,INDEX(E22:H22,$C$5)))</f>
        <v>3200</v>
      </c>
      <c r="E22" s="29" t="n">
        <v>3200</v>
      </c>
      <c r="F22" s="29" t="n">
        <v>3200</v>
      </c>
      <c r="G22" s="29"/>
      <c r="H22" s="29"/>
      <c r="I22" s="57" t="s">
        <v>373</v>
      </c>
      <c r="J22" s="28" t="s">
        <v>389</v>
      </c>
      <c r="K22" s="28" t="s">
        <v>394</v>
      </c>
      <c r="L22" s="18" t="n">
        <f aca="false">IF($C$5=0,0,IF(INDEX(E22:H22,$C$5)="",0,1))</f>
        <v>1</v>
      </c>
    </row>
    <row r="23" customFormat="false" ht="37.5" hidden="false" customHeight="true" outlineLevel="0" collapsed="false">
      <c r="B23" s="14" t="s">
        <v>395</v>
      </c>
      <c r="C23" s="53" t="s">
        <v>372</v>
      </c>
      <c r="D23" s="56" t="n">
        <f aca="false">IF($C$5=0,0,IF(INDEX(E23:H23,$C$5)="",0,INDEX(E23:H23,$C$5)))</f>
        <v>0.03</v>
      </c>
      <c r="E23" s="36" t="n">
        <v>0.03</v>
      </c>
      <c r="F23" s="36" t="n">
        <v>0.03</v>
      </c>
      <c r="G23" s="36"/>
      <c r="H23" s="36"/>
      <c r="I23" s="57" t="s">
        <v>373</v>
      </c>
      <c r="J23" s="28" t="s">
        <v>389</v>
      </c>
      <c r="K23" s="28" t="s">
        <v>396</v>
      </c>
      <c r="L23" s="18" t="n">
        <f aca="false">IF($C$5=0,0,IF(INDEX(E23:H23,$C$5)="",0,1))</f>
        <v>1</v>
      </c>
    </row>
    <row r="24" customFormat="false" ht="37.5" hidden="false" customHeight="true" outlineLevel="0" collapsed="false">
      <c r="B24" s="14" t="s">
        <v>397</v>
      </c>
      <c r="C24" s="53" t="s">
        <v>372</v>
      </c>
      <c r="D24" s="54" t="n">
        <f aca="false">IF($C$5=0,0,IF(INDEX(E24:H24,$C$5)="",0,INDEX(E24:H24,$C$5)))</f>
        <v>2000</v>
      </c>
      <c r="E24" s="29" t="n">
        <v>2000</v>
      </c>
      <c r="F24" s="29" t="n">
        <v>2000</v>
      </c>
      <c r="G24" s="29"/>
      <c r="H24" s="29"/>
      <c r="I24" s="57" t="s">
        <v>373</v>
      </c>
      <c r="J24" s="28" t="s">
        <v>389</v>
      </c>
      <c r="K24" s="28"/>
      <c r="L24" s="18" t="n">
        <f aca="false">IF($C$5=0,0,IF(INDEX(E24:H24,$C$5)="",0,1))</f>
        <v>1</v>
      </c>
    </row>
    <row r="25" customFormat="false" ht="37.5" hidden="false" customHeight="true" outlineLevel="0" collapsed="false">
      <c r="B25" s="14" t="s">
        <v>398</v>
      </c>
      <c r="C25" s="53" t="s">
        <v>372</v>
      </c>
      <c r="D25" s="54" t="n">
        <f aca="false">IF($C$5=0,0,IF(INDEX(E25:H25,$C$5)="",0,INDEX(E25:H25,$C$5)))</f>
        <v>4000</v>
      </c>
      <c r="E25" s="29" t="n">
        <v>4000</v>
      </c>
      <c r="F25" s="29" t="n">
        <v>4000</v>
      </c>
      <c r="G25" s="29"/>
      <c r="H25" s="29"/>
      <c r="I25" s="57" t="s">
        <v>373</v>
      </c>
      <c r="J25" s="28" t="s">
        <v>389</v>
      </c>
      <c r="K25" s="28"/>
      <c r="L25" s="18" t="n">
        <f aca="false">IF($C$5=0,0,IF(INDEX(E25:H25,$C$5)="",0,1))</f>
        <v>1</v>
      </c>
    </row>
    <row r="26" customFormat="false" ht="15" hidden="false" customHeight="false" outlineLevel="0" collapsed="false">
      <c r="B26" s="51" t="s">
        <v>399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customFormat="false" ht="37.5" hidden="false" customHeight="true" outlineLevel="0" collapsed="false">
      <c r="B27" s="14" t="s">
        <v>371</v>
      </c>
      <c r="C27" s="53" t="s">
        <v>268</v>
      </c>
      <c r="D27" s="54" t="n">
        <f aca="false">IF($C$5=0,0,IF(INDEX(E27:H27,$C$5)="",0,INDEX(E27:H27,$C$5)))</f>
        <v>6800</v>
      </c>
      <c r="E27" s="29" t="n">
        <v>6800</v>
      </c>
      <c r="F27" s="29" t="n">
        <v>6800</v>
      </c>
      <c r="G27" s="29"/>
      <c r="H27" s="29"/>
      <c r="I27" s="57" t="s">
        <v>373</v>
      </c>
      <c r="J27" s="28" t="s">
        <v>400</v>
      </c>
      <c r="K27" s="28" t="s">
        <v>401</v>
      </c>
      <c r="L27" s="18" t="n">
        <f aca="false">IF($C$5=0,0,IF(INDEX(E27:H27,$C$5)="",0,1))</f>
        <v>1</v>
      </c>
    </row>
    <row r="28" customFormat="false" ht="37.5" hidden="false" customHeight="true" outlineLevel="0" collapsed="false">
      <c r="B28" s="14" t="s">
        <v>376</v>
      </c>
      <c r="C28" s="53" t="s">
        <v>268</v>
      </c>
      <c r="D28" s="54" t="n">
        <f aca="false">IF($C$5=0,0,IF(INDEX(E28:H28,$C$5)="",0,INDEX(E28:H28,$C$5)))</f>
        <v>3700</v>
      </c>
      <c r="E28" s="29"/>
      <c r="F28" s="29" t="n">
        <v>3700</v>
      </c>
      <c r="G28" s="29"/>
      <c r="H28" s="29"/>
      <c r="I28" s="57" t="s">
        <v>373</v>
      </c>
      <c r="J28" s="28" t="s">
        <v>400</v>
      </c>
      <c r="K28" s="28" t="s">
        <v>402</v>
      </c>
      <c r="L28" s="18" t="n">
        <f aca="false">IF($C$5=0,0,IF(INDEX(E28:H28,$C$5)="",0,1))</f>
        <v>1</v>
      </c>
    </row>
    <row r="29" customFormat="false" ht="37.5" hidden="false" customHeight="true" outlineLevel="0" collapsed="false">
      <c r="B29" s="14" t="s">
        <v>379</v>
      </c>
      <c r="C29" s="53" t="s">
        <v>268</v>
      </c>
      <c r="D29" s="54" t="n">
        <f aca="false">IF($C$5=0,0,IF(INDEX(E29:H29,$C$5)="",0,INDEX(E29:H29,$C$5)))</f>
        <v>700</v>
      </c>
      <c r="E29" s="29"/>
      <c r="F29" s="29" t="n">
        <v>700</v>
      </c>
      <c r="G29" s="29"/>
      <c r="H29" s="29"/>
      <c r="I29" s="57" t="s">
        <v>373</v>
      </c>
      <c r="J29" s="28" t="s">
        <v>400</v>
      </c>
      <c r="K29" s="28" t="s">
        <v>402</v>
      </c>
      <c r="L29" s="18" t="n">
        <f aca="false">IF($C$5=0,0,IF(INDEX(E29:H29,$C$5)="",0,1))</f>
        <v>1</v>
      </c>
    </row>
    <row r="30" customFormat="false" ht="37.5" hidden="false" customHeight="true" outlineLevel="0" collapsed="false">
      <c r="B30" s="14" t="s">
        <v>381</v>
      </c>
      <c r="C30" s="53" t="s">
        <v>268</v>
      </c>
      <c r="D30" s="56" t="n">
        <f aca="false">IF($C$5=0,0,IF(INDEX(E30:H30,$C$5)="",0,INDEX(E30:H30,$C$5)))</f>
        <v>0.5</v>
      </c>
      <c r="E30" s="36" t="n">
        <v>0.5</v>
      </c>
      <c r="F30" s="36" t="n">
        <v>0.5</v>
      </c>
      <c r="G30" s="36"/>
      <c r="H30" s="36"/>
      <c r="I30" s="57" t="s">
        <v>373</v>
      </c>
      <c r="J30" s="28" t="s">
        <v>400</v>
      </c>
      <c r="K30" s="28" t="s">
        <v>403</v>
      </c>
      <c r="L30" s="18" t="n">
        <f aca="false">IF($C$5=0,0,IF(INDEX(E30:H30,$C$5)="",0,1))</f>
        <v>1</v>
      </c>
    </row>
    <row r="31" customFormat="false" ht="37.5" hidden="false" customHeight="true" outlineLevel="0" collapsed="false">
      <c r="B31" s="14" t="s">
        <v>384</v>
      </c>
      <c r="C31" s="53" t="s">
        <v>268</v>
      </c>
      <c r="D31" s="54" t="n">
        <f aca="false">IF($C$5=0,0,IF(INDEX(E31:H31,$C$5)="",0,INDEX(E31:H31,$C$5)))</f>
        <v>8600</v>
      </c>
      <c r="E31" s="29"/>
      <c r="F31" s="29" t="n">
        <v>8600</v>
      </c>
      <c r="G31" s="29"/>
      <c r="H31" s="29"/>
      <c r="I31" s="57" t="s">
        <v>373</v>
      </c>
      <c r="J31" s="28" t="s">
        <v>400</v>
      </c>
      <c r="K31" s="28" t="s">
        <v>402</v>
      </c>
      <c r="L31" s="18" t="n">
        <f aca="false">IF($C$5=0,0,IF(INDEX(E31:H31,$C$5)="",0,1))</f>
        <v>1</v>
      </c>
    </row>
    <row r="32" customFormat="false" ht="37.5" hidden="false" customHeight="true" outlineLevel="0" collapsed="false">
      <c r="B32" s="14" t="s">
        <v>386</v>
      </c>
      <c r="C32" s="53" t="s">
        <v>268</v>
      </c>
      <c r="D32" s="54" t="n">
        <f aca="false">IF($C$5=0,0,IF(INDEX(E32:H32,$C$5)="",0,INDEX(E32:H32,$C$5)))</f>
        <v>14100</v>
      </c>
      <c r="E32" s="29"/>
      <c r="F32" s="29" t="n">
        <v>14100</v>
      </c>
      <c r="G32" s="29"/>
      <c r="H32" s="29"/>
      <c r="I32" s="57" t="s">
        <v>373</v>
      </c>
      <c r="J32" s="28" t="s">
        <v>400</v>
      </c>
      <c r="K32" s="28" t="s">
        <v>402</v>
      </c>
      <c r="L32" s="18" t="n">
        <f aca="false">IF($C$5=0,0,IF(INDEX(E32:H32,$C$5)="",0,1))</f>
        <v>1</v>
      </c>
    </row>
    <row r="33" customFormat="false" ht="37.5" hidden="false" customHeight="true" outlineLevel="0" collapsed="false">
      <c r="B33" s="14" t="s">
        <v>404</v>
      </c>
      <c r="C33" s="53" t="s">
        <v>268</v>
      </c>
      <c r="D33" s="54" t="n">
        <f aca="false">IF($C$5=0,0,IF(INDEX(E33:H33,$C$5)="",0,INDEX(E33:H33,$C$5)))</f>
        <v>2800</v>
      </c>
      <c r="E33" s="29" t="n">
        <v>2800</v>
      </c>
      <c r="F33" s="29" t="n">
        <v>2800</v>
      </c>
      <c r="G33" s="29"/>
      <c r="H33" s="29"/>
      <c r="I33" s="57" t="s">
        <v>373</v>
      </c>
      <c r="J33" s="28" t="s">
        <v>400</v>
      </c>
      <c r="K33" s="28" t="s">
        <v>405</v>
      </c>
      <c r="L33" s="18" t="n">
        <f aca="false">IF($C$5=0,0,IF(INDEX(E33:H33,$C$5)="",0,1))</f>
        <v>1</v>
      </c>
    </row>
    <row r="34" customFormat="false" ht="37.5" hidden="false" customHeight="true" outlineLevel="0" collapsed="false">
      <c r="B34" s="14" t="s">
        <v>388</v>
      </c>
      <c r="C34" s="53" t="s">
        <v>268</v>
      </c>
      <c r="D34" s="54" t="n">
        <f aca="false">IF($C$5=0,0,IF(INDEX(E34:H34,$C$5)="",0,INDEX(E34:H34,$C$5)))</f>
        <v>3300</v>
      </c>
      <c r="E34" s="29" t="n">
        <v>3200</v>
      </c>
      <c r="F34" s="29" t="n">
        <v>3300</v>
      </c>
      <c r="G34" s="29"/>
      <c r="H34" s="29"/>
      <c r="I34" s="57" t="s">
        <v>373</v>
      </c>
      <c r="J34" s="28" t="s">
        <v>400</v>
      </c>
      <c r="K34" s="28" t="s">
        <v>406</v>
      </c>
      <c r="L34" s="18" t="n">
        <f aca="false">IF($C$5=0,0,IF(INDEX(E34:H34,$C$5)="",0,1))</f>
        <v>1</v>
      </c>
    </row>
    <row r="35" customFormat="false" ht="37.5" hidden="false" customHeight="true" outlineLevel="0" collapsed="false">
      <c r="B35" s="14" t="s">
        <v>391</v>
      </c>
      <c r="C35" s="53" t="s">
        <v>268</v>
      </c>
      <c r="D35" s="54" t="n">
        <f aca="false">IF($C$5=0,0,IF(INDEX(E35:H35,$C$5)="",0,INDEX(E35:H35,$C$5)))</f>
        <v>15</v>
      </c>
      <c r="E35" s="29" t="n">
        <v>15</v>
      </c>
      <c r="F35" s="29" t="n">
        <v>15</v>
      </c>
      <c r="G35" s="29"/>
      <c r="H35" s="29"/>
      <c r="I35" s="57" t="s">
        <v>373</v>
      </c>
      <c r="J35" s="28" t="s">
        <v>400</v>
      </c>
      <c r="K35" s="28"/>
      <c r="L35" s="18" t="n">
        <f aca="false">IF($C$5=0,0,IF(INDEX(E35:H35,$C$5)="",0,1))</f>
        <v>1</v>
      </c>
    </row>
    <row r="36" customFormat="false" ht="37.5" hidden="false" customHeight="true" outlineLevel="0" collapsed="false">
      <c r="B36" s="14" t="s">
        <v>393</v>
      </c>
      <c r="C36" s="53" t="s">
        <v>268</v>
      </c>
      <c r="D36" s="54" t="n">
        <f aca="false">IF($C$5=0,0,IF(INDEX(E36:H36,$C$5)="",0,INDEX(E36:H36,$C$5)))</f>
        <v>3200</v>
      </c>
      <c r="E36" s="29" t="n">
        <v>3200</v>
      </c>
      <c r="F36" s="29" t="n">
        <v>3200</v>
      </c>
      <c r="G36" s="29"/>
      <c r="H36" s="29"/>
      <c r="I36" s="57" t="s">
        <v>373</v>
      </c>
      <c r="J36" s="28" t="s">
        <v>400</v>
      </c>
      <c r="K36" s="28"/>
      <c r="L36" s="18" t="n">
        <f aca="false">IF($C$5=0,0,IF(INDEX(E36:H36,$C$5)="",0,1))</f>
        <v>1</v>
      </c>
    </row>
    <row r="37" customFormat="false" ht="37.5" hidden="false" customHeight="true" outlineLevel="0" collapsed="false">
      <c r="B37" s="14" t="s">
        <v>395</v>
      </c>
      <c r="C37" s="53" t="s">
        <v>268</v>
      </c>
      <c r="D37" s="56" t="n">
        <f aca="false">IF($C$5=0,0,IF(INDEX(E37:H37,$C$5)="",0,INDEX(E37:H37,$C$5)))</f>
        <v>0.03</v>
      </c>
      <c r="E37" s="36" t="n">
        <v>0.03</v>
      </c>
      <c r="F37" s="36" t="n">
        <v>0.03</v>
      </c>
      <c r="G37" s="36"/>
      <c r="H37" s="36"/>
      <c r="I37" s="57" t="s">
        <v>373</v>
      </c>
      <c r="J37" s="28" t="s">
        <v>400</v>
      </c>
      <c r="K37" s="28"/>
      <c r="L37" s="18" t="n">
        <f aca="false">IF($C$5=0,0,IF(INDEX(E37:H37,$C$5)="",0,1))</f>
        <v>1</v>
      </c>
    </row>
    <row r="38" customFormat="false" ht="37.5" hidden="false" customHeight="true" outlineLevel="0" collapsed="false">
      <c r="B38" s="14" t="s">
        <v>397</v>
      </c>
      <c r="C38" s="53" t="s">
        <v>268</v>
      </c>
      <c r="D38" s="54" t="n">
        <f aca="false">IF($C$5=0,0,IF(INDEX(E38:H38,$C$5)="",0,INDEX(E38:H38,$C$5)))</f>
        <v>2000</v>
      </c>
      <c r="E38" s="29" t="n">
        <v>2000</v>
      </c>
      <c r="F38" s="29" t="n">
        <v>2000</v>
      </c>
      <c r="G38" s="29"/>
      <c r="H38" s="29"/>
      <c r="I38" s="57" t="s">
        <v>373</v>
      </c>
      <c r="J38" s="28" t="s">
        <v>400</v>
      </c>
      <c r="K38" s="28"/>
      <c r="L38" s="18" t="n">
        <f aca="false">IF($C$5=0,0,IF(INDEX(E38:H38,$C$5)="",0,1))</f>
        <v>1</v>
      </c>
    </row>
    <row r="39" customFormat="false" ht="37.5" hidden="false" customHeight="true" outlineLevel="0" collapsed="false">
      <c r="B39" s="14" t="s">
        <v>398</v>
      </c>
      <c r="C39" s="53" t="s">
        <v>268</v>
      </c>
      <c r="D39" s="54" t="n">
        <f aca="false">IF($C$5=0,0,IF(INDEX(E39:H39,$C$5)="",0,INDEX(E39:H39,$C$5)))</f>
        <v>4000</v>
      </c>
      <c r="E39" s="29" t="n">
        <v>4000</v>
      </c>
      <c r="F39" s="29" t="n">
        <v>4000</v>
      </c>
      <c r="G39" s="29"/>
      <c r="H39" s="29"/>
      <c r="I39" s="57" t="s">
        <v>373</v>
      </c>
      <c r="J39" s="28" t="s">
        <v>400</v>
      </c>
      <c r="K39" s="28"/>
      <c r="L39" s="18" t="n">
        <f aca="false">IF($C$5=0,0,IF(INDEX(E39:H39,$C$5)="",0,1))</f>
        <v>1</v>
      </c>
    </row>
    <row r="41" customFormat="false" ht="18" hidden="false" customHeight="true" outlineLevel="0" collapsed="false">
      <c r="B41" s="4" t="s">
        <v>407</v>
      </c>
      <c r="C41" s="4"/>
      <c r="D41" s="4"/>
      <c r="E41" s="4"/>
      <c r="F41" s="4"/>
      <c r="G41" s="4"/>
      <c r="H41" s="4"/>
      <c r="I41" s="4"/>
      <c r="J41" s="4"/>
      <c r="K41" s="4"/>
    </row>
    <row r="42" customFormat="false" ht="30" hidden="false" customHeight="true" outlineLevel="0" collapsed="false">
      <c r="B42" s="23" t="s">
        <v>408</v>
      </c>
      <c r="C42" s="23"/>
      <c r="D42" s="23"/>
      <c r="E42" s="23"/>
      <c r="F42" s="23"/>
      <c r="G42" s="23"/>
      <c r="H42" s="23"/>
      <c r="I42" s="23"/>
      <c r="J42" s="23"/>
      <c r="K42" s="23"/>
    </row>
    <row r="43" customFormat="false" ht="30" hidden="false" customHeight="true" outlineLevel="0" collapsed="false">
      <c r="B43" s="23" t="s">
        <v>409</v>
      </c>
      <c r="C43" s="23"/>
      <c r="D43" s="23"/>
      <c r="E43" s="23"/>
      <c r="F43" s="23"/>
      <c r="G43" s="23"/>
      <c r="H43" s="23"/>
      <c r="I43" s="23"/>
      <c r="J43" s="23"/>
      <c r="K43" s="23"/>
    </row>
    <row r="44" customFormat="false" ht="30" hidden="false" customHeight="true" outlineLevel="0" collapsed="false">
      <c r="B44" s="23" t="s">
        <v>410</v>
      </c>
      <c r="C44" s="23"/>
      <c r="D44" s="23"/>
      <c r="E44" s="23"/>
      <c r="F44" s="23"/>
      <c r="G44" s="23"/>
      <c r="H44" s="23"/>
      <c r="I44" s="23"/>
      <c r="J44" s="23"/>
      <c r="K44" s="23"/>
    </row>
    <row r="45" customFormat="false" ht="30" hidden="false" customHeight="true" outlineLevel="0" collapsed="false">
      <c r="B45" s="23" t="s">
        <v>411</v>
      </c>
      <c r="C45" s="23"/>
      <c r="D45" s="23"/>
      <c r="E45" s="23"/>
      <c r="F45" s="23"/>
      <c r="G45" s="23"/>
      <c r="H45" s="23"/>
      <c r="I45" s="23"/>
      <c r="J45" s="23"/>
      <c r="K45" s="23"/>
    </row>
    <row r="46" customFormat="false" ht="30" hidden="false" customHeight="true" outlineLevel="0" collapsed="false">
      <c r="B46" s="23" t="s">
        <v>412</v>
      </c>
      <c r="C46" s="23"/>
      <c r="D46" s="23"/>
      <c r="E46" s="23"/>
      <c r="F46" s="23"/>
      <c r="G46" s="23"/>
      <c r="H46" s="23"/>
      <c r="I46" s="23"/>
      <c r="J46" s="23"/>
      <c r="K46" s="23"/>
    </row>
    <row r="47" customFormat="false" ht="30" hidden="false" customHeight="true" outlineLevel="0" collapsed="false">
      <c r="B47" s="23" t="s">
        <v>413</v>
      </c>
      <c r="C47" s="23"/>
      <c r="D47" s="23"/>
      <c r="E47" s="23"/>
      <c r="F47" s="23"/>
      <c r="G47" s="23"/>
      <c r="H47" s="23"/>
      <c r="I47" s="23"/>
      <c r="J47" s="23"/>
      <c r="K47" s="23"/>
    </row>
    <row r="48" customFormat="false" ht="30" hidden="false" customHeight="true" outlineLevel="0" collapsed="false">
      <c r="B48" s="23" t="s">
        <v>414</v>
      </c>
      <c r="C48" s="23"/>
      <c r="D48" s="23"/>
      <c r="E48" s="23"/>
      <c r="F48" s="23"/>
      <c r="G48" s="23"/>
      <c r="H48" s="23"/>
      <c r="I48" s="23"/>
      <c r="J48" s="23"/>
      <c r="K48" s="23"/>
    </row>
    <row r="49" customFormat="false" ht="30" hidden="false" customHeight="true" outlineLevel="0" collapsed="false">
      <c r="B49" s="23" t="s">
        <v>415</v>
      </c>
      <c r="C49" s="23"/>
      <c r="D49" s="23"/>
      <c r="E49" s="23"/>
      <c r="F49" s="23"/>
      <c r="G49" s="23"/>
      <c r="H49" s="23"/>
      <c r="I49" s="23"/>
      <c r="J49" s="23"/>
      <c r="K49" s="23"/>
    </row>
    <row r="51" customFormat="false" ht="18" hidden="false" customHeight="true" outlineLevel="0" collapsed="false">
      <c r="B51" s="4" t="s">
        <v>416</v>
      </c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true" outlineLevel="0" collapsed="false">
      <c r="B52" s="23" t="s">
        <v>417</v>
      </c>
      <c r="C52" s="23"/>
      <c r="D52" s="23"/>
      <c r="E52" s="23"/>
      <c r="F52" s="23"/>
      <c r="G52" s="23"/>
      <c r="H52" s="23"/>
      <c r="I52" s="23"/>
      <c r="J52" s="23"/>
      <c r="K52" s="23"/>
    </row>
    <row r="53" customFormat="false" ht="15" hidden="false" customHeight="true" outlineLevel="0" collapsed="false">
      <c r="B53" s="23" t="s">
        <v>418</v>
      </c>
      <c r="C53" s="23"/>
      <c r="D53" s="23"/>
      <c r="E53" s="23"/>
      <c r="F53" s="23"/>
      <c r="G53" s="23"/>
      <c r="H53" s="23"/>
      <c r="I53" s="23"/>
      <c r="J53" s="23"/>
      <c r="K53" s="23"/>
    </row>
    <row r="54" customFormat="false" ht="15" hidden="false" customHeight="true" outlineLevel="0" collapsed="false">
      <c r="B54" s="23" t="s">
        <v>419</v>
      </c>
      <c r="C54" s="23"/>
      <c r="D54" s="23"/>
      <c r="E54" s="23"/>
      <c r="F54" s="23"/>
      <c r="G54" s="23"/>
      <c r="H54" s="23"/>
      <c r="I54" s="23"/>
      <c r="J54" s="23"/>
      <c r="K54" s="23"/>
    </row>
    <row r="55" customFormat="false" ht="15" hidden="false" customHeight="true" outlineLevel="0" collapsed="false">
      <c r="B55" s="23" t="s">
        <v>420</v>
      </c>
      <c r="C55" s="23"/>
      <c r="D55" s="23"/>
      <c r="E55" s="23"/>
      <c r="F55" s="23"/>
      <c r="G55" s="23"/>
      <c r="H55" s="23"/>
      <c r="I55" s="23"/>
      <c r="J55" s="23"/>
      <c r="K55" s="23"/>
    </row>
    <row r="56" customFormat="false" ht="15" hidden="false" customHeight="true" outlineLevel="0" collapsed="false">
      <c r="B56" s="23" t="s">
        <v>421</v>
      </c>
      <c r="C56" s="23"/>
      <c r="D56" s="23"/>
      <c r="E56" s="23"/>
      <c r="F56" s="23"/>
      <c r="G56" s="23"/>
      <c r="H56" s="23"/>
      <c r="I56" s="23"/>
      <c r="J56" s="23"/>
      <c r="K56" s="23"/>
    </row>
  </sheetData>
  <sheetProtection sheet="true" formatCells="false" formatColumns="false" formatRows="false"/>
  <mergeCells count="14">
    <mergeCell ref="J4:K5"/>
    <mergeCell ref="B42:K42"/>
    <mergeCell ref="B43:K43"/>
    <mergeCell ref="B44:K44"/>
    <mergeCell ref="B45:K45"/>
    <mergeCell ref="B46:K46"/>
    <mergeCell ref="B47:K47"/>
    <mergeCell ref="B48:K48"/>
    <mergeCell ref="B49:K49"/>
    <mergeCell ref="B52:K52"/>
    <mergeCell ref="B53:K53"/>
    <mergeCell ref="B54:K54"/>
    <mergeCell ref="B55:K55"/>
    <mergeCell ref="B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17"/>
    <col collapsed="false" customWidth="true" hidden="false" outlineLevel="0" max="8" min="5" style="0" width="14"/>
    <col collapsed="false" customWidth="true" hidden="false" outlineLevel="0" max="15" min="9" style="0" width="15"/>
  </cols>
  <sheetData>
    <row r="1" customFormat="false" ht="24" hidden="false" customHeight="true" outlineLevel="0" collapsed="false">
      <c r="B1" s="1" t="s">
        <v>422</v>
      </c>
    </row>
    <row r="2" customFormat="false" ht="15" hidden="false" customHeight="false" outlineLevel="0" collapsed="false">
      <c r="B2" s="2" t="s">
        <v>423</v>
      </c>
    </row>
    <row r="5" customFormat="false" ht="57.75" hidden="false" customHeight="true" outlineLevel="0" collapsed="false">
      <c r="B5" s="5" t="s">
        <v>424</v>
      </c>
      <c r="C5" s="5" t="s">
        <v>302</v>
      </c>
      <c r="D5" s="5" t="s">
        <v>425</v>
      </c>
      <c r="E5" s="5" t="s">
        <v>426</v>
      </c>
      <c r="F5" s="5" t="s">
        <v>427</v>
      </c>
      <c r="G5" s="5" t="s">
        <v>165</v>
      </c>
      <c r="H5" s="5" t="s">
        <v>167</v>
      </c>
      <c r="I5" s="5" t="s">
        <v>428</v>
      </c>
      <c r="J5" s="5" t="s">
        <v>429</v>
      </c>
      <c r="K5" s="5" t="s">
        <v>430</v>
      </c>
      <c r="L5" s="5" t="s">
        <v>431</v>
      </c>
      <c r="M5" s="5" t="s">
        <v>432</v>
      </c>
      <c r="N5" s="5" t="s">
        <v>32</v>
      </c>
      <c r="O5" s="5" t="s">
        <v>433</v>
      </c>
    </row>
    <row r="6" customFormat="false" ht="15" hidden="false" customHeight="false" outlineLevel="0" collapsed="false">
      <c r="B6" s="39" t="n">
        <v>2023</v>
      </c>
      <c r="C6" s="29" t="n">
        <v>172000</v>
      </c>
      <c r="D6" s="29"/>
      <c r="E6" s="29" t="n">
        <v>7056</v>
      </c>
      <c r="F6" s="29" t="n">
        <v>7056</v>
      </c>
      <c r="G6" s="29" t="n">
        <v>0</v>
      </c>
      <c r="H6" s="29" t="n">
        <v>0</v>
      </c>
      <c r="I6" s="31" t="n">
        <f aca="false">SUM(E6:H6)</f>
        <v>14112</v>
      </c>
      <c r="J6" s="29"/>
      <c r="K6" s="29"/>
      <c r="L6" s="31" t="n">
        <f aca="false">IF(OR(C6="",COUNT('04 Mietmodell'!$C$8:$C$17)=0),"",IF(SUMPRODUCT(('04 Mietmodell'!$C$8:$C$17&lt;&gt;"")*('04 Mietmodell'!$C$8:$C$17&lt;C6))+1&gt;COUNT('04 Mietmodell'!$C$8:$C$17),'04 Mietmodell'!$D$18,INDEX('04 Mietmodell'!$D$8:$D$17,SUMPRODUCT(('04 Mietmodell'!$C$8:$C$17&lt;&gt;"")*('04 Mietmodell'!$C$8:$C$17&lt;C6))+1)))</f>
        <v>2700</v>
      </c>
      <c r="M6" s="31" t="n">
        <f aca="false">IF(K6&lt;&gt;"",K6,L6)</f>
        <v>2700</v>
      </c>
      <c r="N6" s="31" t="n">
        <f aca="false">IF(ISNUMBER(M6),M6*12,"")</f>
        <v>32400</v>
      </c>
      <c r="O6" s="29" t="n">
        <v>7056</v>
      </c>
    </row>
    <row r="7" customFormat="false" ht="15" hidden="false" customHeight="false" outlineLevel="0" collapsed="false">
      <c r="B7" s="39" t="n">
        <v>2024</v>
      </c>
      <c r="C7" s="29" t="n">
        <v>168500</v>
      </c>
      <c r="D7" s="29"/>
      <c r="E7" s="29" t="n">
        <v>7056</v>
      </c>
      <c r="F7" s="29" t="n">
        <v>7056</v>
      </c>
      <c r="G7" s="29" t="n">
        <v>5000</v>
      </c>
      <c r="H7" s="29" t="n">
        <v>0</v>
      </c>
      <c r="I7" s="31" t="n">
        <f aca="false">SUM(E7:H7)</f>
        <v>19112</v>
      </c>
      <c r="J7" s="29"/>
      <c r="K7" s="29"/>
      <c r="L7" s="31" t="n">
        <f aca="false">IF(OR(C7="",COUNT('04 Mietmodell'!$C$8:$C$17)=0),"",IF(SUMPRODUCT(('04 Mietmodell'!$C$8:$C$17&lt;&gt;"")*('04 Mietmodell'!$C$8:$C$17&lt;C7))+1&gt;COUNT('04 Mietmodell'!$C$8:$C$17),'04 Mietmodell'!$D$18,INDEX('04 Mietmodell'!$D$8:$D$17,SUMPRODUCT(('04 Mietmodell'!$C$8:$C$17&lt;&gt;"")*('04 Mietmodell'!$C$8:$C$17&lt;C7))+1)))</f>
        <v>2700</v>
      </c>
      <c r="M7" s="31" t="n">
        <f aca="false">IF(K7&lt;&gt;"",K7,L7)</f>
        <v>2700</v>
      </c>
      <c r="N7" s="31" t="n">
        <f aca="false">IF(ISNUMBER(M7),M7*12,"")</f>
        <v>32400</v>
      </c>
      <c r="O7" s="29" t="n">
        <v>7056</v>
      </c>
    </row>
    <row r="8" customFormat="false" ht="15" hidden="false" customHeight="false" outlineLevel="0" collapsed="false">
      <c r="B8" s="39" t="n">
        <v>2025</v>
      </c>
      <c r="C8" s="29" t="n">
        <v>165000</v>
      </c>
      <c r="D8" s="29"/>
      <c r="E8" s="29" t="n">
        <v>7258</v>
      </c>
      <c r="F8" s="29" t="n">
        <v>7258</v>
      </c>
      <c r="G8" s="29" t="n">
        <v>5000</v>
      </c>
      <c r="H8" s="29" t="n">
        <v>0</v>
      </c>
      <c r="I8" s="31" t="n">
        <f aca="false">SUM(E8:H8)</f>
        <v>19516</v>
      </c>
      <c r="J8" s="29" t="n">
        <v>31000</v>
      </c>
      <c r="K8" s="29" t="n">
        <v>2500</v>
      </c>
      <c r="L8" s="31" t="n">
        <f aca="false">IF(OR(C8="",COUNT('04 Mietmodell'!$C$8:$C$17)=0),"",IF(SUMPRODUCT(('04 Mietmodell'!$C$8:$C$17&lt;&gt;"")*('04 Mietmodell'!$C$8:$C$17&lt;C8))+1&gt;COUNT('04 Mietmodell'!$C$8:$C$17),'04 Mietmodell'!$D$18,INDEX('04 Mietmodell'!$D$8:$D$17,SUMPRODUCT(('04 Mietmodell'!$C$8:$C$17&lt;&gt;"")*('04 Mietmodell'!$C$8:$C$17&lt;C8))+1)))</f>
        <v>2700</v>
      </c>
      <c r="M8" s="31" t="n">
        <f aca="false">IF(K8&lt;&gt;"",K8,L8)</f>
        <v>2500</v>
      </c>
      <c r="N8" s="31" t="n">
        <f aca="false">IF(ISNUMBER(M8),M8*12,"")</f>
        <v>30000</v>
      </c>
      <c r="O8" s="29" t="n">
        <v>7258</v>
      </c>
    </row>
    <row r="9" customFormat="false" ht="15" hidden="false" customHeight="false" outlineLevel="0" collapsed="false">
      <c r="B9" s="39" t="n">
        <v>2026</v>
      </c>
      <c r="C9" s="29"/>
      <c r="D9" s="29"/>
      <c r="E9" s="29"/>
      <c r="F9" s="29"/>
      <c r="G9" s="29"/>
      <c r="H9" s="29"/>
      <c r="I9" s="31" t="n">
        <f aca="false">SUM(E9:H9)</f>
        <v>0</v>
      </c>
      <c r="J9" s="29"/>
      <c r="K9" s="29"/>
      <c r="L9" s="31" t="str">
        <f aca="false">IF(OR(C9="",COUNT('04 Mietmodell'!$C$8:$C$17)=0),"",IF(SUMPRODUCT(('04 Mietmodell'!$C$8:$C$17&lt;&gt;"")*('04 Mietmodell'!$C$8:$C$17&lt;C9))+1&gt;COUNT('04 Mietmodell'!$C$8:$C$17),'04 Mietmodell'!$D$18,INDEX('04 Mietmodell'!$D$8:$D$17,SUMPRODUCT(('04 Mietmodell'!$C$8:$C$17&lt;&gt;"")*('04 Mietmodell'!$C$8:$C$17&lt;C9))+1)))</f>
        <v/>
      </c>
      <c r="M9" s="31" t="str">
        <f aca="false">IF(K9&lt;&gt;"",K9,L9)</f>
        <v/>
      </c>
      <c r="N9" s="31" t="str">
        <f aca="false">IF(ISNUMBER(M9),M9*12,"")</f>
        <v/>
      </c>
      <c r="O9" s="29" t="n">
        <v>7258</v>
      </c>
    </row>
    <row r="11" customFormat="false" ht="15" hidden="false" customHeight="true" outlineLevel="0" collapsed="false">
      <c r="B11" s="43" t="s">
        <v>434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customFormat="false" ht="15" hidden="false" customHeight="false" outlineLevel="0" collapsed="false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</sheetData>
  <sheetProtection sheet="true" formatCells="false" formatColumns="false" formatRows="false"/>
  <mergeCells count="1">
    <mergeCell ref="B11:O12"/>
  </mergeCells>
  <dataValidations count="1">
    <dataValidation allowBlank="true" error="Der Wert liegt ausserhalb des üblichen Bereichs. Trotzdem übernehmen?" errorStyle="warning" errorTitle="Prüfen" operator="greaterThanOrEqual" showDropDown="false" showErrorMessage="true" showInputMessage="false" sqref="C6:H9 J6:K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2026-10-04T07:55:58Z</dcterms:created>
  <dc:creator>openpyxl</dc:creator>
  <dc:description/>
  <dc:language>en-US</dc:language>
  <cp:lastModifiedBy/>
  <dcterms:modified xsi:type="dcterms:W3CDTF">2026-10-04T07:56:00Z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